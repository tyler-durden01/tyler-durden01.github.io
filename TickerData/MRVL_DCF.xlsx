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6" documentId="11_3EDED128CBD802A3F7314FC3170357FDDB9F68FA" xr6:coauthVersionLast="47" xr6:coauthVersionMax="47" xr10:uidLastSave="{9618FF41-B11D-4BEC-9A35-BC44C4283F1B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O31" i="5"/>
  <c r="K31" i="5"/>
  <c r="G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C31" i="5" s="1"/>
  <c r="R3" i="5"/>
  <c r="P3" i="5"/>
  <c r="O3" i="5"/>
  <c r="O32" i="5" s="1"/>
  <c r="L3" i="5"/>
  <c r="K3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I10" i="3"/>
  <c r="I11" i="3" s="1"/>
  <c r="H10" i="3"/>
  <c r="H11" i="3" s="1"/>
  <c r="G10" i="3"/>
  <c r="N5" i="3"/>
  <c r="O5" i="3" s="1"/>
  <c r="P5" i="3" s="1"/>
  <c r="Q5" i="3" s="1"/>
  <c r="R5" i="3" s="1"/>
  <c r="S5" i="3" s="1"/>
  <c r="T5" i="3" s="1"/>
  <c r="U5" i="3" s="1"/>
  <c r="L5" i="3"/>
  <c r="K4" i="3"/>
  <c r="K5" i="3" s="1"/>
  <c r="J4" i="3"/>
  <c r="J5" i="3" s="1"/>
  <c r="I4" i="3"/>
  <c r="I5" i="3" s="1"/>
  <c r="H4" i="3"/>
  <c r="H5" i="3" s="1"/>
  <c r="G4" i="3"/>
  <c r="J3" i="3"/>
  <c r="I3" i="3"/>
  <c r="K1" i="3"/>
  <c r="K3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D1" i="3"/>
  <c r="D10" i="3" s="1"/>
  <c r="I13" i="3" l="1"/>
  <c r="I8" i="3"/>
  <c r="J8" i="3"/>
  <c r="E11" i="3"/>
  <c r="G5" i="3"/>
  <c r="G11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K7" i="3"/>
  <c r="F10" i="3"/>
  <c r="F11" i="3" s="1"/>
  <c r="D7" i="3"/>
  <c r="E7" i="3"/>
  <c r="J10" i="3"/>
  <c r="J11" i="3" s="1"/>
  <c r="G7" i="3"/>
  <c r="F3" i="3"/>
  <c r="D4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H7" i="3"/>
  <c r="K10" i="3"/>
  <c r="L1" i="3"/>
  <c r="D3" i="3"/>
  <c r="F7" i="3"/>
  <c r="E3" i="3"/>
  <c r="E4" i="3"/>
  <c r="E5" i="3" s="1"/>
  <c r="F8" i="3" l="1"/>
  <c r="F13" i="3"/>
  <c r="F5" i="3"/>
  <c r="E8" i="3"/>
  <c r="E13" i="3"/>
  <c r="G8" i="3"/>
  <c r="G13" i="3"/>
  <c r="K11" i="3"/>
  <c r="M11" i="3" s="1"/>
  <c r="N11" i="3" s="1"/>
  <c r="O11" i="3" s="1"/>
  <c r="P11" i="3" s="1"/>
  <c r="Q11" i="3" s="1"/>
  <c r="R11" i="3" s="1"/>
  <c r="S11" i="3" s="1"/>
  <c r="T11" i="3" s="1"/>
  <c r="U11" i="3" s="1"/>
  <c r="C21" i="3"/>
  <c r="C20" i="3"/>
  <c r="D8" i="3"/>
  <c r="D13" i="3"/>
  <c r="J13" i="3"/>
  <c r="H13" i="3"/>
  <c r="H8" i="3"/>
  <c r="L3" i="3"/>
  <c r="M1" i="3"/>
  <c r="K8" i="3"/>
  <c r="K13" i="3"/>
  <c r="L8" i="3" l="1"/>
  <c r="M3" i="3"/>
  <c r="N1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8" i="3" l="1"/>
  <c r="L7" i="3"/>
  <c r="L13" i="3" s="1"/>
  <c r="L14" i="3" s="1"/>
  <c r="O1" i="3"/>
  <c r="N3" i="3"/>
  <c r="N8" i="3" l="1"/>
  <c r="M7" i="3"/>
  <c r="M13" i="3" s="1"/>
  <c r="M14" i="3" s="1"/>
  <c r="O3" i="3"/>
  <c r="P1" i="3"/>
  <c r="P3" i="3" l="1"/>
  <c r="Q1" i="3"/>
  <c r="O8" i="3"/>
  <c r="N7" i="3"/>
  <c r="N13" i="3" s="1"/>
  <c r="N14" i="3" s="1"/>
  <c r="O7" i="3" l="1"/>
  <c r="O13" i="3" s="1"/>
  <c r="O14" i="3" s="1"/>
  <c r="P8" i="3"/>
  <c r="R1" i="3"/>
  <c r="Q3" i="3"/>
  <c r="R3" i="3" l="1"/>
  <c r="S1" i="3"/>
  <c r="P7" i="3"/>
  <c r="P13" i="3" s="1"/>
  <c r="P14" i="3" s="1"/>
  <c r="Q8" i="3"/>
  <c r="Q7" i="3" l="1"/>
  <c r="Q13" i="3" s="1"/>
  <c r="Q14" i="3" s="1"/>
  <c r="R8" i="3"/>
  <c r="S3" i="3"/>
  <c r="T1" i="3"/>
  <c r="T3" i="3" l="1"/>
  <c r="U1" i="3"/>
  <c r="U3" i="3" s="1"/>
  <c r="R7" i="3"/>
  <c r="R13" i="3" s="1"/>
  <c r="R14" i="3" s="1"/>
  <c r="S8" i="3"/>
  <c r="T8" i="3" l="1"/>
  <c r="S7" i="3"/>
  <c r="S13" i="3" s="1"/>
  <c r="S14" i="3" s="1"/>
  <c r="U8" i="3" l="1"/>
  <c r="U7" i="3" s="1"/>
  <c r="T7" i="3"/>
  <c r="T13" i="3" s="1"/>
  <c r="T14" i="3" s="1"/>
  <c r="V7" i="3" l="1"/>
  <c r="U13" i="3"/>
  <c r="U14" i="3" l="1"/>
  <c r="V13" i="3"/>
  <c r="V14" i="3" s="1"/>
  <c r="C18" i="3" l="1"/>
  <c r="C17" i="3"/>
  <c r="C19" i="3" l="1"/>
  <c r="C22" i="3" s="1"/>
  <c r="L18" i="3"/>
  <c r="L1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<sst xmlns="http://schemas.openxmlformats.org/spreadsheetml/2006/main" count="195" uniqueCount="162">
  <si>
    <t>This sheet contains FactSet XML data for use with this workbook's =FDS codes.  Modifying the worksheet's contents may damage the workbook's =FDS functionality.</t>
  </si>
  <si>
    <t>MRVL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</si>
  <si>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</si>
  <si>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</si>
  <si>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</si>
  <si>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</si>
  <si>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</si>
  <si>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</si>
  <si>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</si>
  <si>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</si>
  <si>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</si>
  <si>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</si>
  <si>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</si>
  <si>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</si>
  <si>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</si>
  <si>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</si>
  <si>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</si>
  <si>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</si>
  <si>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</si>
  <si>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</si>
  <si>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</si>
  <si>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</si>
  <si>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</si>
  <si>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</si>
  <si>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</si>
  <si>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</si>
  <si>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</si>
  <si>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</si>
  <si>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</si>
  <si>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</si>
  <si>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</si>
  <si>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</si>
  <si>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</si>
  <si>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2024-11-03</t>
  </si>
  <si>
    <t>2024-08-03</t>
  </si>
  <si>
    <t>2024-05-04</t>
  </si>
  <si>
    <t>2024-02-03</t>
  </si>
  <si>
    <t>2023-10-28</t>
  </si>
  <si>
    <t>2023-07-29</t>
  </si>
  <si>
    <t>2023-04-29</t>
  </si>
  <si>
    <t>2023-01-28</t>
  </si>
  <si>
    <t>2022-10-29</t>
  </si>
  <si>
    <t>2022-07-30</t>
  </si>
  <si>
    <t>2022-04-30</t>
  </si>
  <si>
    <t>2022-01-29</t>
  </si>
  <si>
    <t>2021-10-30</t>
  </si>
  <si>
    <t>2021-07-31</t>
  </si>
  <si>
    <t>2021-05-01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</si>
  <si>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</si>
  <si>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</si>
  <si>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</si>
  <si>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</si>
  <si>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</si>
  <si>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</si>
  <si>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</si>
  <si>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</si>
  <si>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</si>
  <si>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</si>
  <si>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</si>
  <si>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</si>
  <si>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</si>
  <si>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</si>
  <si>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</si>
  <si>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</si>
  <si>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</si>
  <si>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</si>
  <si>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</si>
  <si>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</si>
  <si>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2016-01-31</t>
  </si>
  <si>
    <t>2015-10-31</t>
  </si>
  <si>
    <t>2015-07-31</t>
  </si>
  <si>
    <t>2015-04-30</t>
  </si>
  <si>
    <t>2015-01-31</t>
  </si>
  <si>
    <t>2014-10-31</t>
  </si>
  <si>
    <t>2014-07-31</t>
  </si>
  <si>
    <t>2014-04-30</t>
  </si>
  <si>
    <t>2014-01-31</t>
  </si>
  <si>
    <t>2013-10-31</t>
  </si>
  <si>
    <t>2013-07-31</t>
  </si>
  <si>
    <t>2013-04-30</t>
  </si>
  <si>
    <t>2013-01-31</t>
  </si>
  <si>
    <t>2012-10-31</t>
  </si>
  <si>
    <t>2012-07-31</t>
  </si>
  <si>
    <t>2012-04-30</t>
  </si>
  <si>
    <t>2012-01-31</t>
  </si>
  <si>
    <t>2011-10-31</t>
  </si>
  <si>
    <t>2011-07-31</t>
  </si>
  <si>
    <t>2011-04-30</t>
  </si>
  <si>
    <t>2011-01-31</t>
  </si>
  <si>
    <t>2010-10-31</t>
  </si>
  <si>
    <t>2010-07-31</t>
  </si>
  <si>
    <t>2010-04-30</t>
  </si>
  <si>
    <t>2010-01-31</t>
  </si>
  <si>
    <t>2009-10-31</t>
  </si>
  <si>
    <t>2009-07-31</t>
  </si>
  <si>
    <t>2009-04-30</t>
  </si>
  <si>
    <t>2009-01-31</t>
  </si>
  <si>
    <t>2008-10-31</t>
  </si>
  <si>
    <t>2008-07-31</t>
  </si>
  <si>
    <t>2008-04-30</t>
  </si>
  <si>
    <t>2008-01-31</t>
  </si>
  <si>
    <t>2007-10-31</t>
  </si>
  <si>
    <t>2007-07-31</t>
  </si>
  <si>
    <t>2007-04-30</t>
  </si>
  <si>
    <t>2007-01-31</t>
  </si>
  <si>
    <t>2006-10-31</t>
  </si>
  <si>
    <t>2006-07-31</t>
  </si>
  <si>
    <t>2006-04-30</t>
  </si>
  <si>
    <t>2006-01-31</t>
  </si>
  <si>
    <t>2005-10-31</t>
  </si>
  <si>
    <t>2005-07-31</t>
  </si>
  <si>
    <t>2005-04-30</t>
  </si>
  <si>
    <t>2005-01-31</t>
  </si>
  <si>
    <t>2004-10-31</t>
  </si>
  <si>
    <t>2004-07-31</t>
  </si>
  <si>
    <t>2004-04-30</t>
  </si>
  <si>
    <t>2004-01-31</t>
  </si>
  <si>
    <t>2003-10-31</t>
  </si>
  <si>
    <t>2003-07-31</t>
  </si>
  <si>
    <t>2003-04-30</t>
  </si>
  <si>
    <t>2003-01-31</t>
  </si>
  <si>
    <t>2002-10-31</t>
  </si>
  <si>
    <t>2002-07-31</t>
  </si>
  <si>
    <t>2002-04-30</t>
  </si>
  <si>
    <t>2002-01-31</t>
  </si>
  <si>
    <t>2001-10-31</t>
  </si>
  <si>
    <t>2001-07-31</t>
  </si>
  <si>
    <t>2001-04-30</t>
  </si>
  <si>
    <t>2001-01-31</t>
  </si>
  <si>
    <t>2000-10-31</t>
  </si>
  <si>
    <t>2000-07-31</t>
  </si>
  <si>
    <t>2000-04-30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</si>
  <si>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</si>
  <si>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</si>
  <si>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</si>
  <si>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</si>
  <si>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</si>
  <si>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</si>
  <si>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</si>
  <si>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</si>
  <si>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</si>
  <si>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</si>
  <si>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</si>
  <si>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</si>
  <si>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</si>
  <si>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</si>
  <si>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</si>
  <si>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</si>
  <si>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</si>
  <si>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</si>
  <si>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</si>
  <si>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2022-01-31</t>
  </si>
  <si>
    <t>2021-10-31</t>
  </si>
  <si>
    <t>add more to show the return, and also the market cap valuations</t>
  </si>
  <si>
    <t>2021-04-30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</si>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</sst>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6088500000</v>
      </c>
    </row>
    <row r="3" spans="1:2" x14ac:dyDescent="0.25">
      <c r="A3" s="73" t="s">
        <v>3</v>
      </c>
      <c r="B3">
        <v>3996500000</v>
      </c>
    </row>
    <row r="4" spans="1:2" x14ac:dyDescent="0.25">
      <c r="A4" s="73" t="s">
        <v>4</v>
      </c>
      <c r="B4">
        <v>0.21957102200929601</v>
      </c>
    </row>
    <row r="5" spans="1:2" x14ac:dyDescent="0.25">
      <c r="A5" s="73" t="s">
        <v>5</v>
      </c>
      <c r="B5">
        <v>5.0644313774552731E-2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14204900000</v>
      </c>
    </row>
    <row r="8" spans="1:2" x14ac:dyDescent="0.25">
      <c r="A8" s="73" t="s">
        <v>8</v>
      </c>
      <c r="B8">
        <v>0.78042897799070399</v>
      </c>
    </row>
    <row r="9" spans="1:2" x14ac:dyDescent="0.25">
      <c r="A9" s="73" t="s">
        <v>9</v>
      </c>
      <c r="B9">
        <v>0.163461203621662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1.771780038521281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0.13635467883378999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9" sqref="L9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 t="str">
        <f>Python!A31</f>
        <v>2017-07-31</v>
      </c>
      <c r="E1" s="66" t="str">
        <f>Python!A27</f>
        <v>2018-07-31</v>
      </c>
      <c r="F1" s="66" t="str">
        <f>Python!A23</f>
        <v>2019-07-31</v>
      </c>
      <c r="G1" s="66" t="str">
        <f>Python!A19</f>
        <v>2020-07-31</v>
      </c>
      <c r="H1" s="66" t="str">
        <f>Python!A15</f>
        <v>2021-07-31</v>
      </c>
      <c r="I1" s="66" t="str">
        <f>Python!A11</f>
        <v>2022-07-30</v>
      </c>
      <c r="J1" s="66" t="str">
        <f>Python!A7</f>
        <v>2023-07-29</v>
      </c>
      <c r="K1" s="66" t="str">
        <f>Python!A3</f>
        <v>2024-08-03</v>
      </c>
      <c r="L1" s="28">
        <f t="shared" ref="L1:U1" si="0">EDATE(K1, 12)</f>
        <v>45872</v>
      </c>
      <c r="M1" s="28">
        <f t="shared" si="0"/>
        <v>46237</v>
      </c>
      <c r="N1" s="28">
        <f t="shared" si="0"/>
        <v>46602</v>
      </c>
      <c r="O1" s="28">
        <f t="shared" si="0"/>
        <v>46968</v>
      </c>
      <c r="P1" s="28">
        <f t="shared" si="0"/>
        <v>47333</v>
      </c>
      <c r="Q1" s="28">
        <f t="shared" si="0"/>
        <v>47698</v>
      </c>
      <c r="R1" s="28">
        <f t="shared" si="0"/>
        <v>48063</v>
      </c>
      <c r="S1" s="28">
        <f t="shared" si="0"/>
        <v>48429</v>
      </c>
      <c r="T1" s="28">
        <f t="shared" si="0"/>
        <v>48794</v>
      </c>
      <c r="U1" s="28">
        <f t="shared" si="0"/>
        <v>49159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2409.752</v>
      </c>
      <c r="E4" s="36">
        <f>IFERROR(INDEX(Python!$1:$1048576,MATCH(DCF_Simple!E$1,Python!$A:$A,0),MATCH(DCF_Simple!$B4,Python!$1:$1,0))/1000000,0)</f>
        <v>2501.652</v>
      </c>
      <c r="F4" s="36">
        <f>IFERROR(INDEX(Python!$1:$1048576,MATCH(DCF_Simple!F$1,Python!$A:$A,0),MATCH(DCF_Simple!$B4,Python!$1:$1,0))/1000000,0)</f>
        <v>2914.87</v>
      </c>
      <c r="G4" s="36">
        <f>IFERROR(INDEX(Python!$1:$1048576,MATCH(DCF_Simple!G$1,Python!$A:$A,0),MATCH(DCF_Simple!$B4,Python!$1:$1,0))/1000000,0)</f>
        <v>2801.0790000000002</v>
      </c>
      <c r="H4" s="36">
        <f>IFERROR(INDEX(Python!$1:$1048576,MATCH(DCF_Simple!H$1,Python!$A:$A,0),MATCH(DCF_Simple!$B4,Python!$1:$1,0))/1000000,0)</f>
        <v>3456.1219999999998</v>
      </c>
      <c r="I4" s="36">
        <f>IFERROR(INDEX(Python!$1:$1048576,MATCH(DCF_Simple!I$1,Python!$A:$A,0),MATCH(DCF_Simple!$B4,Python!$1:$1,0))/1000000,0)</f>
        <v>5518.0230000000001</v>
      </c>
      <c r="J4" s="36">
        <f>IFERROR(INDEX(Python!$1:$1048576,MATCH(DCF_Simple!J$1,Python!$A:$A,0),MATCH(DCF_Simple!$B4,Python!$1:$1,0))/1000000,0)</f>
        <v>5618.4</v>
      </c>
      <c r="K4" s="55">
        <f>IFERROR(INDEX(Python!$1:$1048576,MATCH(DCF_Simple!K$1,Python!$A:$A,0),MATCH(DCF_Simple!$B4,Python!$1:$1,0))/1000000,0)</f>
        <v>5278.9</v>
      </c>
      <c r="L4" s="37">
        <f t="shared" ref="L4:U4" si="2">K4*(1+L5)</f>
        <v>5411.5981347807692</v>
      </c>
      <c r="M4" s="36">
        <f t="shared" si="2"/>
        <v>5952.7579482588462</v>
      </c>
      <c r="N4" s="36">
        <f t="shared" si="2"/>
        <v>6548.0337430847312</v>
      </c>
      <c r="O4" s="36">
        <f t="shared" si="2"/>
        <v>7202.8371173932046</v>
      </c>
      <c r="P4" s="36">
        <f t="shared" si="2"/>
        <v>7923.1208291325256</v>
      </c>
      <c r="Q4" s="36">
        <f t="shared" si="2"/>
        <v>8715.4329120457787</v>
      </c>
      <c r="R4" s="36">
        <f t="shared" si="2"/>
        <v>9586.9762032503568</v>
      </c>
      <c r="S4" s="36">
        <f t="shared" si="2"/>
        <v>10545.673823575393</v>
      </c>
      <c r="T4" s="36">
        <f t="shared" si="2"/>
        <v>11600.241205932933</v>
      </c>
      <c r="U4" s="36">
        <f t="shared" si="2"/>
        <v>12760.265326526227</v>
      </c>
      <c r="V4" s="19">
        <f>U4</f>
        <v>12760.265326526227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3.8136704523951126E-2</v>
      </c>
      <c r="F5" s="42">
        <f t="shared" si="3"/>
        <v>0.16517805034433231</v>
      </c>
      <c r="G5" s="42">
        <f t="shared" si="3"/>
        <v>-3.9038104615300107E-2</v>
      </c>
      <c r="H5" s="42">
        <f t="shared" si="3"/>
        <v>0.23385381133484628</v>
      </c>
      <c r="I5" s="42">
        <f t="shared" si="3"/>
        <v>0.5965938123712069</v>
      </c>
      <c r="J5" s="42">
        <f t="shared" si="3"/>
        <v>1.8190754188592395E-2</v>
      </c>
      <c r="K5" s="58">
        <f t="shared" si="3"/>
        <v>-6.0426455930513989E-2</v>
      </c>
      <c r="L5" s="43">
        <f>Python!F2</f>
        <v>2.5137459467080129E-2</v>
      </c>
      <c r="M5" s="43">
        <v>0.1</v>
      </c>
      <c r="N5" s="38">
        <f t="shared" ref="N5:U5" si="4">M5</f>
        <v>0.1</v>
      </c>
      <c r="O5" s="38">
        <f t="shared" si="4"/>
        <v>0.1</v>
      </c>
      <c r="P5" s="38">
        <f t="shared" si="4"/>
        <v>0.1</v>
      </c>
      <c r="Q5" s="38">
        <f t="shared" si="4"/>
        <v>0.1</v>
      </c>
      <c r="R5" s="38">
        <f t="shared" si="4"/>
        <v>0.1</v>
      </c>
      <c r="S5" s="38">
        <f t="shared" si="4"/>
        <v>0.1</v>
      </c>
      <c r="T5" s="38">
        <f t="shared" si="4"/>
        <v>0.1</v>
      </c>
      <c r="U5" s="38">
        <f t="shared" si="4"/>
        <v>0.1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438.56099999999998</v>
      </c>
      <c r="E7" s="52">
        <f>IFERROR(INDEX(Python!$1:$1048576,MATCH(DCF_Simple!E$1,Python!$A:$A,0),MATCH(DCF_Simple!$B7,Python!$1:$1,0))/1000000,0)</f>
        <v>462.09500000000003</v>
      </c>
      <c r="F7" s="52">
        <f>IFERROR(INDEX(Python!$1:$1048576,MATCH(DCF_Simple!F$1,Python!$A:$A,0),MATCH(DCF_Simple!$B7,Python!$1:$1,0))/1000000,0)</f>
        <v>549.46699999999998</v>
      </c>
      <c r="G7" s="52">
        <f>IFERROR(INDEX(Python!$1:$1048576,MATCH(DCF_Simple!G$1,Python!$A:$A,0),MATCH(DCF_Simple!$B7,Python!$1:$1,0))/1000000,0)</f>
        <v>420.23399999999998</v>
      </c>
      <c r="H7" s="52">
        <f>IFERROR(INDEX(Python!$1:$1048576,MATCH(DCF_Simple!H$1,Python!$A:$A,0),MATCH(DCF_Simple!$B7,Python!$1:$1,0))/1000000,0)</f>
        <v>504.03100000000001</v>
      </c>
      <c r="I7" s="52">
        <f>IFERROR(INDEX(Python!$1:$1048576,MATCH(DCF_Simple!I$1,Python!$A:$A,0),MATCH(DCF_Simple!$B7,Python!$1:$1,0))/1000000,0)</f>
        <v>896.78599999999994</v>
      </c>
      <c r="J7" s="52">
        <f>IFERROR(INDEX(Python!$1:$1048576,MATCH(DCF_Simple!J$1,Python!$A:$A,0),MATCH(DCF_Simple!$B7,Python!$1:$1,0))/1000000,0)</f>
        <v>765.9</v>
      </c>
      <c r="K7" s="57">
        <f>IFERROR(INDEX(Python!$1:$1048576,MATCH(DCF_Simple!K$1,Python!$A:$A,0),MATCH(DCF_Simple!$B7,Python!$1:$1,0))/1000000,0)</f>
        <v>1398.8</v>
      </c>
      <c r="L7" s="64">
        <f t="shared" ref="L7:U7" si="5">L8*L4</f>
        <v>957.10656844347341</v>
      </c>
      <c r="M7" s="64">
        <f t="shared" si="5"/>
        <v>1052.8172252878207</v>
      </c>
      <c r="N7" s="64">
        <f t="shared" si="5"/>
        <v>1158.098947816603</v>
      </c>
      <c r="O7" s="64">
        <f t="shared" si="5"/>
        <v>1273.9088425982632</v>
      </c>
      <c r="P7" s="64">
        <f t="shared" si="5"/>
        <v>1401.2997268580896</v>
      </c>
      <c r="Q7" s="64">
        <f t="shared" si="5"/>
        <v>1541.4296995438988</v>
      </c>
      <c r="R7" s="64">
        <f t="shared" si="5"/>
        <v>1695.5726694982886</v>
      </c>
      <c r="S7" s="64">
        <f t="shared" si="5"/>
        <v>1865.1299364481174</v>
      </c>
      <c r="T7" s="64">
        <f t="shared" si="5"/>
        <v>2051.6429300929294</v>
      </c>
      <c r="U7" s="64">
        <f t="shared" si="5"/>
        <v>2256.8072231022225</v>
      </c>
      <c r="V7" s="65">
        <f>U7</f>
        <v>2256.8072231022225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0.18199424671086484</v>
      </c>
      <c r="E8" s="42">
        <f t="shared" si="6"/>
        <v>0.18471593970704159</v>
      </c>
      <c r="F8" s="42">
        <f t="shared" si="6"/>
        <v>0.18850480467396488</v>
      </c>
      <c r="G8" s="42">
        <f t="shared" si="6"/>
        <v>0.15002575793114009</v>
      </c>
      <c r="H8" s="42">
        <f t="shared" si="6"/>
        <v>0.14583715505413294</v>
      </c>
      <c r="I8" s="42">
        <f t="shared" si="6"/>
        <v>0.16251943857428647</v>
      </c>
      <c r="J8" s="42">
        <f t="shared" si="6"/>
        <v>0.13631994873985476</v>
      </c>
      <c r="K8" s="58">
        <f t="shared" si="6"/>
        <v>0.26497944647559152</v>
      </c>
      <c r="L8" s="38">
        <f>AVERAGE(D8:K8)</f>
        <v>0.17686209223335964</v>
      </c>
      <c r="M8" s="38">
        <f t="shared" ref="M8:U8" si="7">L8</f>
        <v>0.17686209223335964</v>
      </c>
      <c r="N8" s="38">
        <f t="shared" si="7"/>
        <v>0.17686209223335964</v>
      </c>
      <c r="O8" s="38">
        <f t="shared" si="7"/>
        <v>0.17686209223335964</v>
      </c>
      <c r="P8" s="38">
        <f t="shared" si="7"/>
        <v>0.17686209223335964</v>
      </c>
      <c r="Q8" s="38">
        <f t="shared" si="7"/>
        <v>0.17686209223335964</v>
      </c>
      <c r="R8" s="38">
        <f t="shared" si="7"/>
        <v>0.17686209223335964</v>
      </c>
      <c r="S8" s="38">
        <f t="shared" si="7"/>
        <v>0.17686209223335964</v>
      </c>
      <c r="T8" s="38">
        <f t="shared" si="7"/>
        <v>0.17686209223335964</v>
      </c>
      <c r="U8" s="38">
        <f t="shared" si="7"/>
        <v>0.17686209223335964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510.30900000000003</v>
      </c>
      <c r="E10" s="17">
        <f>IFERROR(INDEX(Python!$1:$1048576,MATCH(DCF_Simple!E$1,Python!$A:$A,0),MATCH(DCF_Simple!$B10,Python!$1:$1,0))/1000000,0)</f>
        <v>562.149</v>
      </c>
      <c r="F10" s="17">
        <f>IFERROR(INDEX(Python!$1:$1048576,MATCH(DCF_Simple!F$1,Python!$A:$A,0),MATCH(DCF_Simple!$B10,Python!$1:$1,0))/1000000,0)</f>
        <v>663.60299999999995</v>
      </c>
      <c r="G10" s="17">
        <f>IFERROR(INDEX(Python!$1:$1048576,MATCH(DCF_Simple!G$1,Python!$A:$A,0),MATCH(DCF_Simple!$B10,Python!$1:$1,0))/1000000,0)</f>
        <v>667.57399999999996</v>
      </c>
      <c r="H10" s="17">
        <f>IFERROR(INDEX(Python!$1:$1048576,MATCH(DCF_Simple!H$1,Python!$A:$A,0),MATCH(DCF_Simple!$B10,Python!$1:$1,0))/1000000,0)</f>
        <v>821.1</v>
      </c>
      <c r="I10" s="17">
        <f>IFERROR(INDEX(Python!$1:$1048576,MATCH(DCF_Simple!I$1,Python!$A:$A,0),MATCH(DCF_Simple!$B10,Python!$1:$1,0))/1000000,0)</f>
        <v>857.9</v>
      </c>
      <c r="J10" s="17">
        <f>IFERROR(INDEX(Python!$1:$1048576,MATCH(DCF_Simple!J$1,Python!$A:$A,0),MATCH(DCF_Simple!$B10,Python!$1:$1,0))/1000000,0)</f>
        <v>860.9</v>
      </c>
      <c r="K10" s="69">
        <f>IFERROR(INDEX(Python!$1:$1048576,MATCH(DCF_Simple!K$1,Python!$A:$A,0),MATCH(DCF_Simple!$B10,Python!$1:$1,0))/1000000,0)</f>
        <v>865.7</v>
      </c>
      <c r="L10" s="17">
        <f t="shared" ref="L10:U10" si="8">K10*(1+L11)</f>
        <v>875.35352538041616</v>
      </c>
      <c r="M10" s="17">
        <f t="shared" si="8"/>
        <v>885.1146983896532</v>
      </c>
      <c r="N10" s="17">
        <f t="shared" si="8"/>
        <v>894.98471941943694</v>
      </c>
      <c r="O10" s="17">
        <f t="shared" si="8"/>
        <v>904.96480224720642</v>
      </c>
      <c r="P10" s="17">
        <f t="shared" si="8"/>
        <v>915.05617418537975</v>
      </c>
      <c r="Q10" s="17">
        <f t="shared" si="8"/>
        <v>925.26007623228395</v>
      </c>
      <c r="R10" s="17">
        <f t="shared" si="8"/>
        <v>935.57776322476866</v>
      </c>
      <c r="S10" s="17">
        <f t="shared" si="8"/>
        <v>946.01050399252097</v>
      </c>
      <c r="T10" s="17">
        <f t="shared" si="8"/>
        <v>956.55958151410118</v>
      </c>
      <c r="U10" s="17">
        <f t="shared" si="8"/>
        <v>967.22629307471868</v>
      </c>
      <c r="V10" s="70">
        <f>U10</f>
        <v>967.22629307471868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0.10158550995573257</v>
      </c>
      <c r="F11" s="42">
        <f t="shared" si="9"/>
        <v>0.18047528324341044</v>
      </c>
      <c r="G11" s="42">
        <f t="shared" si="9"/>
        <v>5.9839994695622956E-3</v>
      </c>
      <c r="H11" s="42">
        <f t="shared" si="9"/>
        <v>0.22997600266037943</v>
      </c>
      <c r="I11" s="42">
        <f t="shared" si="9"/>
        <v>4.4817927170868188E-2</v>
      </c>
      <c r="J11" s="42">
        <f t="shared" si="9"/>
        <v>3.4969110618954247E-3</v>
      </c>
      <c r="K11" s="58">
        <f t="shared" si="9"/>
        <v>5.5755604599838637E-3</v>
      </c>
      <c r="L11" s="67">
        <f>K11*2</f>
        <v>1.1151120919967727E-2</v>
      </c>
      <c r="M11" s="67">
        <f t="shared" ref="L11:U11" si="10">L11</f>
        <v>1.1151120919967727E-2</v>
      </c>
      <c r="N11" s="67">
        <f t="shared" si="10"/>
        <v>1.1151120919967727E-2</v>
      </c>
      <c r="O11" s="67">
        <f t="shared" si="10"/>
        <v>1.1151120919967727E-2</v>
      </c>
      <c r="P11" s="67">
        <f t="shared" si="10"/>
        <v>1.1151120919967727E-2</v>
      </c>
      <c r="Q11" s="67">
        <f t="shared" si="10"/>
        <v>1.1151120919967727E-2</v>
      </c>
      <c r="R11" s="67">
        <f t="shared" si="10"/>
        <v>1.1151120919967727E-2</v>
      </c>
      <c r="S11" s="67">
        <f t="shared" si="10"/>
        <v>1.1151120919967727E-2</v>
      </c>
      <c r="T11" s="67">
        <f t="shared" si="10"/>
        <v>1.1151120919967727E-2</v>
      </c>
      <c r="U11" s="67">
        <f t="shared" si="10"/>
        <v>1.1151120919967727E-2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0.85940283240154491</v>
      </c>
      <c r="E13" s="53">
        <f t="shared" si="11"/>
        <v>0.82201515968186378</v>
      </c>
      <c r="F13" s="53">
        <f t="shared" si="11"/>
        <v>0.82800559973357568</v>
      </c>
      <c r="G13" s="53">
        <f t="shared" si="11"/>
        <v>0.62949425831443406</v>
      </c>
      <c r="H13" s="53">
        <f t="shared" si="11"/>
        <v>0.61384849592010715</v>
      </c>
      <c r="I13" s="53">
        <f t="shared" si="11"/>
        <v>1.0453269611842873</v>
      </c>
      <c r="J13" s="53">
        <f t="shared" si="11"/>
        <v>0.8896503658961552</v>
      </c>
      <c r="K13" s="59">
        <f t="shared" si="11"/>
        <v>1.6158022409610717</v>
      </c>
      <c r="L13" s="53">
        <f t="shared" ref="L13:U13" si="12">L7/L10</f>
        <v>1.0933943152025676</v>
      </c>
      <c r="M13" s="53">
        <f t="shared" si="12"/>
        <v>1.1894698248749904</v>
      </c>
      <c r="N13" s="53">
        <f t="shared" si="12"/>
        <v>1.2939873974248903</v>
      </c>
      <c r="O13" s="53">
        <f t="shared" si="12"/>
        <v>1.4076888288195251</v>
      </c>
      <c r="P13" s="53">
        <f t="shared" si="12"/>
        <v>1.5313810959262513</v>
      </c>
      <c r="Q13" s="53">
        <f t="shared" si="12"/>
        <v>1.6659420838956929</v>
      </c>
      <c r="R13" s="53">
        <f t="shared" si="12"/>
        <v>1.8123268168045743</v>
      </c>
      <c r="S13" s="53">
        <f t="shared" si="12"/>
        <v>1.9715742357791652</v>
      </c>
      <c r="T13" s="53">
        <f t="shared" si="12"/>
        <v>2.1448145727059291</v>
      </c>
      <c r="U13" s="53">
        <f t="shared" si="12"/>
        <v>2.3332773718630526</v>
      </c>
      <c r="V13" s="71">
        <f>U13*(1+WACC!$B$13)/(WACC!$B$14-WACC!$B$13)</f>
        <v>20.454209002630726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0.96219458199854346</v>
      </c>
      <c r="M14" s="62">
        <f>M13/((1+WACC!$B$14)^(M3-$K$3))</f>
        <v>0.92113995432995199</v>
      </c>
      <c r="N14" s="62">
        <f>N13/((1+WACC!$B$14)^(N3-$K$3))</f>
        <v>0.88183703310882988</v>
      </c>
      <c r="O14" s="62">
        <f>O13/((1+WACC!$B$14)^(O3-$K$3))</f>
        <v>0.84421107705380694</v>
      </c>
      <c r="P14" s="62">
        <f>P13/((1+WACC!$B$14)^(P3-$K$3))</f>
        <v>0.80819053392192197</v>
      </c>
      <c r="Q14" s="62">
        <f>Q13/((1+WACC!$B$14)^(Q3-$K$3))</f>
        <v>0.77370690443969459</v>
      </c>
      <c r="R14" s="62">
        <f>R13/((1+WACC!$B$14)^(R3-$K$3))</f>
        <v>0.7406946120399458</v>
      </c>
      <c r="S14" s="62">
        <f>S13/((1+WACC!$B$14)^(S3-$K$3))</f>
        <v>0.70909087815664917</v>
      </c>
      <c r="T14" s="62">
        <f>T13/((1+WACC!$B$14)^(T3-$K$3))</f>
        <v>0.67883560284066347</v>
      </c>
      <c r="U14" s="62">
        <f>U13/((1+WACC!$B$14)^(U3-$K$3))</f>
        <v>0.64987125046931604</v>
      </c>
      <c r="V14" s="63">
        <f>V13/((1+WACC!$B$14)^(U3-$K$3))</f>
        <v>5.6969662253599207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5.6969662253599207</v>
      </c>
      <c r="L17" s="16">
        <f>C17/$C$19</f>
        <v>0.41684899153387683</v>
      </c>
      <c r="O17" s="18"/>
    </row>
    <row r="18" spans="2:22" x14ac:dyDescent="0.25">
      <c r="B18" s="8" t="s">
        <v>26</v>
      </c>
      <c r="C18" s="32">
        <f>SUM(14:14)-V14</f>
        <v>7.9697724283593239</v>
      </c>
      <c r="K18" s="3"/>
      <c r="L18" s="16">
        <f>C18/$C$19</f>
        <v>0.58315100846612311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13.666738653719245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0.93415732932886686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4.6164953217049787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9.984400661343134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2.5137459467080129E-2</v>
      </c>
    </row>
    <row r="3" spans="1:6" x14ac:dyDescent="0.25">
      <c r="A3" s="73" t="s">
        <v>34</v>
      </c>
      <c r="B3">
        <v>5278900000</v>
      </c>
      <c r="C3">
        <v>1398800000</v>
      </c>
      <c r="D3">
        <v>865700000</v>
      </c>
      <c r="E3">
        <v>808700000</v>
      </c>
      <c r="F3">
        <v>-6.8258626295771507E-2</v>
      </c>
    </row>
    <row r="4" spans="1:6" x14ac:dyDescent="0.25">
      <c r="A4" s="73" t="s">
        <v>35</v>
      </c>
      <c r="B4">
        <v>5346900000</v>
      </c>
      <c r="C4">
        <v>1147000000</v>
      </c>
      <c r="D4">
        <v>865000000</v>
      </c>
      <c r="E4">
        <v>847700000</v>
      </c>
      <c r="F4">
        <v>-0.1271135976394038</v>
      </c>
    </row>
    <row r="5" spans="1:6" x14ac:dyDescent="0.25">
      <c r="A5" s="73" t="s">
        <v>36</v>
      </c>
      <c r="B5">
        <v>5507700000</v>
      </c>
      <c r="C5">
        <v>1020300000</v>
      </c>
      <c r="D5">
        <v>864700000</v>
      </c>
      <c r="E5">
        <v>950800000</v>
      </c>
      <c r="F5">
        <v>1.6261952767007151E-3</v>
      </c>
    </row>
    <row r="6" spans="1:6" x14ac:dyDescent="0.25">
      <c r="A6" s="73" t="s">
        <v>37</v>
      </c>
      <c r="B6">
        <v>5499700000</v>
      </c>
      <c r="C6">
        <v>850800000</v>
      </c>
      <c r="D6">
        <v>862600000</v>
      </c>
      <c r="E6">
        <v>725600000</v>
      </c>
      <c r="F6">
        <v>-8.8935146035256651E-2</v>
      </c>
    </row>
    <row r="7" spans="1:6" x14ac:dyDescent="0.25">
      <c r="A7" s="73" t="s">
        <v>38</v>
      </c>
      <c r="B7">
        <v>5618400000</v>
      </c>
      <c r="C7">
        <v>765900000</v>
      </c>
      <c r="D7">
        <v>860900000</v>
      </c>
      <c r="E7">
        <v>423400000</v>
      </c>
      <c r="F7">
        <v>-7.6484936383413582E-2</v>
      </c>
    </row>
    <row r="8" spans="1:6" x14ac:dyDescent="0.25">
      <c r="A8" s="73" t="s">
        <v>39</v>
      </c>
      <c r="B8">
        <v>5794400000</v>
      </c>
      <c r="C8">
        <v>1021000000</v>
      </c>
      <c r="D8">
        <v>856700000</v>
      </c>
      <c r="E8">
        <v>1028300000</v>
      </c>
      <c r="F8">
        <v>-0.1012785956182183</v>
      </c>
    </row>
    <row r="9" spans="1:6" x14ac:dyDescent="0.25">
      <c r="A9" s="73" t="s">
        <v>40</v>
      </c>
      <c r="B9">
        <v>5919600000</v>
      </c>
      <c r="C9">
        <v>1071500000</v>
      </c>
      <c r="D9">
        <v>854100000</v>
      </c>
      <c r="E9">
        <v>911000000</v>
      </c>
      <c r="F9">
        <v>4.2772107957092409E-2</v>
      </c>
    </row>
    <row r="10" spans="1:6" x14ac:dyDescent="0.25">
      <c r="A10" s="73" t="s">
        <v>41</v>
      </c>
      <c r="B10">
        <v>5844078000</v>
      </c>
      <c r="C10">
        <v>1075056000</v>
      </c>
      <c r="D10">
        <v>858400000</v>
      </c>
      <c r="E10">
        <v>723400000</v>
      </c>
    </row>
    <row r="11" spans="1:6" x14ac:dyDescent="0.25">
      <c r="A11" s="73" t="s">
        <v>42</v>
      </c>
      <c r="B11">
        <v>5518023000</v>
      </c>
      <c r="C11">
        <v>896786000</v>
      </c>
      <c r="D11">
        <v>857900000</v>
      </c>
      <c r="E11">
        <v>617100000</v>
      </c>
    </row>
    <row r="12" spans="1:6" x14ac:dyDescent="0.25">
      <c r="A12" s="73" t="s">
        <v>43</v>
      </c>
      <c r="B12">
        <v>5077004000</v>
      </c>
      <c r="C12">
        <v>827161000</v>
      </c>
      <c r="D12">
        <v>848000000</v>
      </c>
      <c r="E12">
        <v>465000000</v>
      </c>
      <c r="F12">
        <v>0.70439168956563836</v>
      </c>
    </row>
    <row r="13" spans="1:6" x14ac:dyDescent="0.25">
      <c r="A13" s="73" t="s">
        <v>44</v>
      </c>
      <c r="B13">
        <v>4462383000</v>
      </c>
      <c r="C13">
        <v>632247000</v>
      </c>
      <c r="D13">
        <v>862062000</v>
      </c>
      <c r="E13">
        <v>613533000</v>
      </c>
      <c r="F13">
        <v>0.78465290999587634</v>
      </c>
    </row>
    <row r="14" spans="1:6" x14ac:dyDescent="0.25">
      <c r="A14" s="73" t="s">
        <v>45</v>
      </c>
      <c r="B14">
        <v>3917224000</v>
      </c>
      <c r="C14">
        <v>468698000</v>
      </c>
      <c r="D14">
        <v>828600000</v>
      </c>
      <c r="E14">
        <v>523502000</v>
      </c>
      <c r="F14">
        <v>0.74174790673244972</v>
      </c>
    </row>
    <row r="15" spans="1:6" x14ac:dyDescent="0.25">
      <c r="A15" s="73" t="s">
        <v>46</v>
      </c>
      <c r="B15">
        <v>3456122000</v>
      </c>
      <c r="C15">
        <v>504031000</v>
      </c>
      <c r="D15">
        <v>821100000</v>
      </c>
      <c r="E15">
        <v>559617000</v>
      </c>
      <c r="F15">
        <v>0.57741610373753782</v>
      </c>
    </row>
    <row r="16" spans="1:6" x14ac:dyDescent="0.25">
      <c r="A16" s="73" t="s">
        <v>47</v>
      </c>
      <c r="B16">
        <v>3107538000</v>
      </c>
      <c r="C16">
        <v>522566000</v>
      </c>
      <c r="D16">
        <v>693400000</v>
      </c>
      <c r="E16">
        <v>522512000</v>
      </c>
      <c r="F16">
        <v>0.15490577979098699</v>
      </c>
    </row>
    <row r="17" spans="1:6" x14ac:dyDescent="0.25">
      <c r="A17" s="73" t="s">
        <v>48</v>
      </c>
      <c r="B17">
        <v>2968900000</v>
      </c>
      <c r="C17">
        <v>697781000</v>
      </c>
      <c r="D17">
        <v>687959000</v>
      </c>
      <c r="E17">
        <v>748467000</v>
      </c>
      <c r="F17">
        <v>9.5348704350600721E-2</v>
      </c>
    </row>
    <row r="18" spans="1:6" x14ac:dyDescent="0.25">
      <c r="A18" s="73" t="s">
        <v>49</v>
      </c>
      <c r="B18">
        <v>2888752000</v>
      </c>
      <c r="C18">
        <v>596350000</v>
      </c>
      <c r="D18">
        <v>670487000</v>
      </c>
      <c r="E18">
        <v>832041000</v>
      </c>
      <c r="F18">
        <v>0.1323425966458858</v>
      </c>
    </row>
    <row r="19" spans="1:6" x14ac:dyDescent="0.25">
      <c r="A19" s="73" t="s">
        <v>50</v>
      </c>
      <c r="B19">
        <v>2801079000</v>
      </c>
      <c r="C19">
        <v>420234000</v>
      </c>
      <c r="D19">
        <v>667574000</v>
      </c>
      <c r="E19">
        <v>831534000</v>
      </c>
      <c r="F19">
        <v>5.4976497483886E-2</v>
      </c>
    </row>
    <row r="20" spans="1:6" x14ac:dyDescent="0.25">
      <c r="A20" s="73" t="s">
        <v>51</v>
      </c>
      <c r="B20">
        <v>2730350000</v>
      </c>
      <c r="C20">
        <v>265116000</v>
      </c>
      <c r="D20">
        <v>663547000</v>
      </c>
      <c r="E20">
        <v>667548000</v>
      </c>
      <c r="F20">
        <v>-0.1856035531630971</v>
      </c>
    </row>
    <row r="21" spans="1:6" x14ac:dyDescent="0.25">
      <c r="A21" s="73" t="s">
        <v>52</v>
      </c>
      <c r="B21">
        <v>2699161000</v>
      </c>
      <c r="C21">
        <v>273664000</v>
      </c>
      <c r="D21">
        <v>675700000</v>
      </c>
      <c r="E21">
        <v>647604000</v>
      </c>
      <c r="F21">
        <v>-9.3104236176471789E-2</v>
      </c>
    </row>
    <row r="22" spans="1:6" x14ac:dyDescent="0.25">
      <c r="A22" s="73" t="s">
        <v>53</v>
      </c>
      <c r="B22">
        <v>2726289000</v>
      </c>
      <c r="C22">
        <v>316984000</v>
      </c>
      <c r="D22">
        <v>668178000</v>
      </c>
      <c r="E22">
        <v>438369000</v>
      </c>
      <c r="F22">
        <v>-0.2215860154091823</v>
      </c>
    </row>
    <row r="23" spans="1:6" x14ac:dyDescent="0.25">
      <c r="A23" s="73" t="s">
        <v>54</v>
      </c>
      <c r="B23">
        <v>2914870000</v>
      </c>
      <c r="C23">
        <v>549467000</v>
      </c>
      <c r="D23">
        <v>663603000</v>
      </c>
      <c r="E23">
        <v>573496000</v>
      </c>
      <c r="F23">
        <v>-7.4818505659016044E-2</v>
      </c>
    </row>
    <row r="24" spans="1:6" x14ac:dyDescent="0.25">
      <c r="A24" s="73" t="s">
        <v>55</v>
      </c>
      <c r="B24">
        <v>2923612000</v>
      </c>
      <c r="C24">
        <v>539606000</v>
      </c>
      <c r="D24">
        <v>658963000</v>
      </c>
      <c r="E24">
        <v>571893000</v>
      </c>
      <c r="F24">
        <v>-4.1323551058414121E-2</v>
      </c>
    </row>
    <row r="25" spans="1:6" x14ac:dyDescent="0.25">
      <c r="A25" s="73" t="s">
        <v>56</v>
      </c>
      <c r="B25">
        <v>2865791000</v>
      </c>
      <c r="C25">
        <v>509283000</v>
      </c>
      <c r="D25">
        <v>657835000</v>
      </c>
      <c r="E25">
        <v>582410000</v>
      </c>
      <c r="F25">
        <v>0.2102504188271539</v>
      </c>
    </row>
    <row r="26" spans="1:6" x14ac:dyDescent="0.25">
      <c r="A26" s="73" t="s">
        <v>57</v>
      </c>
      <c r="B26">
        <v>2736401000</v>
      </c>
      <c r="C26">
        <v>536902000</v>
      </c>
      <c r="D26">
        <v>657519000</v>
      </c>
      <c r="E26">
        <v>610261000</v>
      </c>
      <c r="F26">
        <v>0.33905386482601058</v>
      </c>
    </row>
    <row r="27" spans="1:6" x14ac:dyDescent="0.25">
      <c r="A27" s="73" t="s">
        <v>58</v>
      </c>
      <c r="B27">
        <v>2501652000</v>
      </c>
      <c r="C27">
        <v>462095000</v>
      </c>
      <c r="D27">
        <v>562149000</v>
      </c>
      <c r="E27">
        <v>523659000</v>
      </c>
      <c r="F27">
        <v>0.37515502108309229</v>
      </c>
    </row>
    <row r="28" spans="1:6" x14ac:dyDescent="0.25">
      <c r="A28" s="73" t="s">
        <v>59</v>
      </c>
      <c r="B28">
        <v>2441092000</v>
      </c>
      <c r="C28">
        <v>518488000</v>
      </c>
      <c r="D28">
        <v>508716000</v>
      </c>
      <c r="E28">
        <v>1879311000</v>
      </c>
      <c r="F28">
        <v>1.126808591456885E-2</v>
      </c>
    </row>
    <row r="29" spans="1:6" x14ac:dyDescent="0.25">
      <c r="A29" s="73" t="s">
        <v>60</v>
      </c>
      <c r="B29">
        <v>2415641000</v>
      </c>
      <c r="C29">
        <v>527689000</v>
      </c>
      <c r="D29">
        <v>506197000</v>
      </c>
      <c r="E29">
        <v>1841272000</v>
      </c>
      <c r="F29">
        <v>4.3347479873993677E-2</v>
      </c>
    </row>
    <row r="30" spans="1:6" x14ac:dyDescent="0.25">
      <c r="A30" s="73" t="s">
        <v>61</v>
      </c>
      <c r="B30">
        <v>2371632000</v>
      </c>
      <c r="C30">
        <v>532864000</v>
      </c>
      <c r="D30">
        <v>504903000</v>
      </c>
      <c r="E30">
        <v>1732075000</v>
      </c>
      <c r="F30">
        <v>-8.5951375412195774E-2</v>
      </c>
    </row>
    <row r="31" spans="1:6" x14ac:dyDescent="0.25">
      <c r="A31" s="73" t="s">
        <v>62</v>
      </c>
      <c r="B31">
        <v>2409752000</v>
      </c>
      <c r="C31">
        <v>438561000</v>
      </c>
      <c r="D31">
        <v>510309000</v>
      </c>
      <c r="E31">
        <v>1573507000</v>
      </c>
      <c r="F31">
        <v>-9.8856329142214983E-2</v>
      </c>
    </row>
    <row r="32" spans="1:6" x14ac:dyDescent="0.25">
      <c r="A32" s="73" t="s">
        <v>63</v>
      </c>
      <c r="B32">
        <v>2431406000</v>
      </c>
      <c r="C32">
        <v>384715000</v>
      </c>
      <c r="D32">
        <v>517592000</v>
      </c>
      <c r="E32">
        <v>1649411000</v>
      </c>
      <c r="F32">
        <v>-7.342434294462874E-2</v>
      </c>
    </row>
    <row r="33" spans="1:6" x14ac:dyDescent="0.25">
      <c r="A33" s="73" t="s">
        <v>64</v>
      </c>
      <c r="B33">
        <v>2393048000</v>
      </c>
      <c r="C33">
        <v>-359505000</v>
      </c>
      <c r="D33">
        <v>507834000</v>
      </c>
      <c r="E33">
        <v>1668360000</v>
      </c>
      <c r="F33">
        <v>-0.2061068167580393</v>
      </c>
    </row>
    <row r="34" spans="1:6" x14ac:dyDescent="0.25">
      <c r="A34" s="73" t="s">
        <v>65</v>
      </c>
      <c r="B34">
        <v>2437806000</v>
      </c>
      <c r="C34">
        <v>-421862000</v>
      </c>
      <c r="D34">
        <v>522091000</v>
      </c>
      <c r="E34">
        <v>1650372000</v>
      </c>
      <c r="F34">
        <v>-0.2366324207484245</v>
      </c>
    </row>
    <row r="35" spans="1:6" x14ac:dyDescent="0.25">
      <c r="A35" s="73" t="s">
        <v>66</v>
      </c>
      <c r="B35">
        <v>2457440000</v>
      </c>
      <c r="C35">
        <v>-473009000</v>
      </c>
      <c r="D35">
        <v>514314000</v>
      </c>
      <c r="E35">
        <v>1624009000</v>
      </c>
      <c r="F35">
        <v>-0.48685038083804061</v>
      </c>
    </row>
    <row r="36" spans="1:6" x14ac:dyDescent="0.25">
      <c r="A36" s="73" t="s">
        <v>67</v>
      </c>
      <c r="B36">
        <v>2542362000</v>
      </c>
      <c r="C36">
        <v>-508260000</v>
      </c>
      <c r="D36">
        <v>508794000</v>
      </c>
      <c r="E36">
        <v>1615240000</v>
      </c>
    </row>
    <row r="37" spans="1:6" x14ac:dyDescent="0.25">
      <c r="A37" s="73" t="s">
        <v>68</v>
      </c>
      <c r="B37">
        <v>2725828000</v>
      </c>
      <c r="C37">
        <v>149621000</v>
      </c>
      <c r="D37">
        <v>508590000</v>
      </c>
      <c r="E37">
        <v>2282749000</v>
      </c>
    </row>
    <row r="38" spans="1:6" x14ac:dyDescent="0.25">
      <c r="A38" s="73" t="s">
        <v>69</v>
      </c>
      <c r="B38">
        <v>2967122000</v>
      </c>
      <c r="C38">
        <v>240884000</v>
      </c>
      <c r="D38">
        <v>504831000</v>
      </c>
      <c r="E38">
        <v>2303752000</v>
      </c>
      <c r="F38">
        <v>5.4884694281266411E-2</v>
      </c>
    </row>
    <row r="39" spans="1:6" x14ac:dyDescent="0.25">
      <c r="A39" s="73" t="s">
        <v>70</v>
      </c>
      <c r="B39">
        <v>3223202000</v>
      </c>
      <c r="C39">
        <v>357189000</v>
      </c>
      <c r="D39">
        <v>516368000</v>
      </c>
      <c r="E39">
        <v>2337647000</v>
      </c>
      <c r="F39">
        <v>-0.32825911423802318</v>
      </c>
    </row>
    <row r="40" spans="1:6" x14ac:dyDescent="0.25">
      <c r="A40" s="73" t="s">
        <v>71</v>
      </c>
      <c r="B40">
        <v>3473421000</v>
      </c>
      <c r="C40">
        <v>489495000</v>
      </c>
      <c r="D40">
        <v>527167000</v>
      </c>
      <c r="E40">
        <v>2500915000</v>
      </c>
      <c r="F40">
        <v>-0.4183165634820375</v>
      </c>
    </row>
    <row r="41" spans="1:6" x14ac:dyDescent="0.25">
      <c r="A41" s="73" t="s">
        <v>72</v>
      </c>
      <c r="B41">
        <v>3706963000</v>
      </c>
      <c r="C41">
        <v>662702000</v>
      </c>
      <c r="D41">
        <v>522112000</v>
      </c>
      <c r="E41">
        <v>2529555000</v>
      </c>
      <c r="F41">
        <v>-0.1165497145690524</v>
      </c>
    </row>
    <row r="42" spans="1:6" x14ac:dyDescent="0.25">
      <c r="A42" s="73" t="s">
        <v>73</v>
      </c>
      <c r="B42">
        <v>3781260000</v>
      </c>
      <c r="C42">
        <v>607131000</v>
      </c>
      <c r="D42">
        <v>519907000</v>
      </c>
      <c r="E42">
        <v>2402778000</v>
      </c>
      <c r="F42">
        <v>-1.2091586789887421E-3</v>
      </c>
    </row>
    <row r="43" spans="1:6" x14ac:dyDescent="0.25">
      <c r="A43" s="73" t="s">
        <v>74</v>
      </c>
      <c r="B43">
        <v>3782350000</v>
      </c>
      <c r="C43">
        <v>590847000</v>
      </c>
      <c r="D43">
        <v>520269000</v>
      </c>
      <c r="E43">
        <v>2300004000</v>
      </c>
      <c r="F43">
        <v>-1.8874119020241501E-2</v>
      </c>
    </row>
    <row r="44" spans="1:6" x14ac:dyDescent="0.25">
      <c r="A44" s="73" t="s">
        <v>75</v>
      </c>
      <c r="B44">
        <v>3627861000</v>
      </c>
      <c r="C44">
        <v>516779000</v>
      </c>
      <c r="D44">
        <v>520751000</v>
      </c>
      <c r="E44">
        <v>2146445000</v>
      </c>
      <c r="F44">
        <v>6.2721368957567636E-2</v>
      </c>
    </row>
    <row r="45" spans="1:6" x14ac:dyDescent="0.25">
      <c r="A45" s="73" t="s">
        <v>76</v>
      </c>
      <c r="B45">
        <v>3404400000</v>
      </c>
      <c r="C45">
        <v>363799000</v>
      </c>
      <c r="D45">
        <v>510449000</v>
      </c>
      <c r="E45">
        <v>1969405000</v>
      </c>
      <c r="F45">
        <v>3.5980744079020299E-2</v>
      </c>
    </row>
    <row r="46" spans="1:6" x14ac:dyDescent="0.25">
      <c r="A46" s="73" t="s">
        <v>77</v>
      </c>
      <c r="B46">
        <v>3247945000</v>
      </c>
      <c r="C46">
        <v>441458000</v>
      </c>
      <c r="D46">
        <v>501189000</v>
      </c>
      <c r="E46">
        <v>1804068000</v>
      </c>
      <c r="F46">
        <v>-6.8359967779981878E-2</v>
      </c>
    </row>
    <row r="47" spans="1:6" x14ac:dyDescent="0.25">
      <c r="A47" s="73" t="s">
        <v>78</v>
      </c>
      <c r="B47">
        <v>3097600000</v>
      </c>
      <c r="C47">
        <v>397850000</v>
      </c>
      <c r="D47">
        <v>500625000</v>
      </c>
      <c r="E47">
        <v>1726198000</v>
      </c>
      <c r="F47">
        <v>-0.18302718526070211</v>
      </c>
    </row>
    <row r="48" spans="1:6" x14ac:dyDescent="0.25">
      <c r="A48" s="73" t="s">
        <v>79</v>
      </c>
      <c r="B48">
        <v>3106648000</v>
      </c>
      <c r="C48">
        <v>506040000</v>
      </c>
      <c r="D48">
        <v>505387000</v>
      </c>
      <c r="E48">
        <v>1732643000</v>
      </c>
      <c r="F48">
        <v>-0.32047948454889857</v>
      </c>
    </row>
    <row r="49" spans="1:6" x14ac:dyDescent="0.25">
      <c r="A49" s="73" t="s">
        <v>80</v>
      </c>
      <c r="B49">
        <v>3168630000</v>
      </c>
      <c r="C49">
        <v>625849000</v>
      </c>
      <c r="D49">
        <v>528082000</v>
      </c>
      <c r="E49">
        <v>1918990000</v>
      </c>
      <c r="F49">
        <v>-0.28575776658439928</v>
      </c>
    </row>
    <row r="50" spans="1:6" x14ac:dyDescent="0.25">
      <c r="A50" s="73" t="s">
        <v>81</v>
      </c>
      <c r="B50">
        <v>3136037000</v>
      </c>
      <c r="C50">
        <v>503084000</v>
      </c>
      <c r="D50">
        <v>559348000</v>
      </c>
      <c r="E50">
        <v>2016799000</v>
      </c>
      <c r="F50">
        <v>-0.17836065642765231</v>
      </c>
    </row>
    <row r="51" spans="1:6" x14ac:dyDescent="0.25">
      <c r="A51" s="73" t="s">
        <v>82</v>
      </c>
      <c r="B51">
        <v>3305573000</v>
      </c>
      <c r="C51">
        <v>628622000</v>
      </c>
      <c r="D51">
        <v>570325000</v>
      </c>
      <c r="E51">
        <v>2134193000</v>
      </c>
      <c r="F51">
        <v>-1.4943028567608541E-2</v>
      </c>
    </row>
    <row r="52" spans="1:6" x14ac:dyDescent="0.25">
      <c r="A52" s="73" t="s">
        <v>83</v>
      </c>
      <c r="B52">
        <v>3386989000</v>
      </c>
      <c r="C52">
        <v>689528000</v>
      </c>
      <c r="D52">
        <v>594739000</v>
      </c>
      <c r="E52">
        <v>2202681000</v>
      </c>
      <c r="F52">
        <v>-0.1369391664028754</v>
      </c>
    </row>
    <row r="53" spans="1:6" x14ac:dyDescent="0.25">
      <c r="A53" s="73" t="s">
        <v>84</v>
      </c>
      <c r="B53">
        <v>3393040000</v>
      </c>
      <c r="C53">
        <v>668645000</v>
      </c>
      <c r="D53">
        <v>599300000</v>
      </c>
      <c r="E53">
        <v>2246498000</v>
      </c>
      <c r="F53">
        <v>-0.3323435275226454</v>
      </c>
    </row>
    <row r="54" spans="1:6" x14ac:dyDescent="0.25">
      <c r="A54" s="73" t="s">
        <v>85</v>
      </c>
      <c r="B54">
        <v>3550852000</v>
      </c>
      <c r="C54">
        <v>843658000</v>
      </c>
      <c r="D54">
        <v>613499000</v>
      </c>
      <c r="E54">
        <v>2424698000</v>
      </c>
      <c r="F54">
        <v>-3.4072844817252153E-2</v>
      </c>
    </row>
    <row r="55" spans="1:6" x14ac:dyDescent="0.25">
      <c r="A55" s="73" t="s">
        <v>86</v>
      </c>
      <c r="B55">
        <v>3559762000</v>
      </c>
      <c r="C55">
        <v>943221000</v>
      </c>
      <c r="D55">
        <v>623132000</v>
      </c>
      <c r="E55">
        <v>2399787000</v>
      </c>
      <c r="F55">
        <v>-2.520142469274067E-2</v>
      </c>
    </row>
    <row r="56" spans="1:6" x14ac:dyDescent="0.25">
      <c r="A56" s="73" t="s">
        <v>87</v>
      </c>
      <c r="B56">
        <v>3558716000</v>
      </c>
      <c r="C56">
        <v>1000126000</v>
      </c>
      <c r="D56">
        <v>657140000</v>
      </c>
      <c r="E56">
        <v>2267839000</v>
      </c>
      <c r="F56">
        <v>-2.9813688741776031E-2</v>
      </c>
    </row>
    <row r="57" spans="1:6" x14ac:dyDescent="0.25">
      <c r="A57" s="73" t="s">
        <v>88</v>
      </c>
      <c r="B57">
        <v>3611893000</v>
      </c>
      <c r="C57">
        <v>1080231000</v>
      </c>
      <c r="D57">
        <v>676878000</v>
      </c>
      <c r="E57">
        <v>2930030000</v>
      </c>
      <c r="F57">
        <v>0.1222382441085534</v>
      </c>
    </row>
    <row r="58" spans="1:6" x14ac:dyDescent="0.25">
      <c r="A58" s="73" t="s">
        <v>89</v>
      </c>
      <c r="B58">
        <v>3553915000</v>
      </c>
      <c r="C58">
        <v>1119862000</v>
      </c>
      <c r="D58">
        <v>674789000</v>
      </c>
      <c r="E58">
        <v>2675273000</v>
      </c>
      <c r="F58">
        <v>0.1414104430592531</v>
      </c>
    </row>
    <row r="59" spans="1:6" x14ac:dyDescent="0.25">
      <c r="A59" s="73" t="s">
        <v>90</v>
      </c>
      <c r="B59">
        <v>3397686000</v>
      </c>
      <c r="C59">
        <v>977680000</v>
      </c>
      <c r="D59">
        <v>675220000</v>
      </c>
      <c r="E59">
        <v>2379951000</v>
      </c>
      <c r="F59">
        <v>0.36440034653928999</v>
      </c>
    </row>
    <row r="60" spans="1:6" x14ac:dyDescent="0.25">
      <c r="A60" s="73" t="s">
        <v>91</v>
      </c>
      <c r="B60">
        <v>3141832000</v>
      </c>
      <c r="C60">
        <v>861232000</v>
      </c>
      <c r="D60">
        <v>678059000</v>
      </c>
      <c r="E60">
        <v>2079203000</v>
      </c>
      <c r="F60">
        <v>0.59767911183390421</v>
      </c>
    </row>
    <row r="61" spans="1:6" x14ac:dyDescent="0.25">
      <c r="A61" s="73" t="s">
        <v>92</v>
      </c>
      <c r="B61">
        <v>2807687000</v>
      </c>
      <c r="C61">
        <v>756101000</v>
      </c>
      <c r="D61">
        <v>653741000</v>
      </c>
      <c r="E61">
        <v>1796717000</v>
      </c>
      <c r="F61">
        <v>0.5195216303642074</v>
      </c>
    </row>
    <row r="62" spans="1:6" x14ac:dyDescent="0.25">
      <c r="A62" s="73" t="s">
        <v>93</v>
      </c>
      <c r="B62">
        <v>2478019000</v>
      </c>
      <c r="C62">
        <v>595700000</v>
      </c>
      <c r="D62">
        <v>659739000</v>
      </c>
      <c r="E62">
        <v>1464187000</v>
      </c>
      <c r="F62">
        <v>-0.21681831145091429</v>
      </c>
    </row>
    <row r="63" spans="1:6" x14ac:dyDescent="0.25">
      <c r="A63" s="73" t="s">
        <v>94</v>
      </c>
      <c r="B63">
        <v>2465967000</v>
      </c>
      <c r="C63">
        <v>644080000</v>
      </c>
      <c r="D63">
        <v>648110000</v>
      </c>
      <c r="E63">
        <v>1254807000</v>
      </c>
      <c r="F63">
        <v>-0.40866457704061948</v>
      </c>
    </row>
    <row r="64" spans="1:6" x14ac:dyDescent="0.25">
      <c r="A64" s="73" t="s">
        <v>95</v>
      </c>
      <c r="B64">
        <v>2667922000</v>
      </c>
      <c r="C64">
        <v>634386000</v>
      </c>
      <c r="D64">
        <v>618677000</v>
      </c>
      <c r="E64">
        <v>1059205000</v>
      </c>
      <c r="F64">
        <v>-0.35155302676989092</v>
      </c>
    </row>
    <row r="65" spans="1:6" x14ac:dyDescent="0.25">
      <c r="A65" s="73" t="s">
        <v>96</v>
      </c>
      <c r="B65">
        <v>2950563000</v>
      </c>
      <c r="C65">
        <v>602242000</v>
      </c>
      <c r="D65">
        <v>630328000</v>
      </c>
      <c r="E65">
        <v>927409000</v>
      </c>
      <c r="F65">
        <v>-0.87856623644762666</v>
      </c>
    </row>
    <row r="66" spans="1:6" x14ac:dyDescent="0.25">
      <c r="A66" s="73" t="s">
        <v>97</v>
      </c>
      <c r="B66">
        <v>3282382000</v>
      </c>
      <c r="C66">
        <v>637061000</v>
      </c>
      <c r="D66">
        <v>630810000</v>
      </c>
      <c r="E66">
        <v>1020007000</v>
      </c>
      <c r="F66">
        <v>-4.7515725767099282E-2</v>
      </c>
    </row>
    <row r="67" spans="1:6" x14ac:dyDescent="0.25">
      <c r="A67" s="73" t="s">
        <v>98</v>
      </c>
      <c r="B67">
        <v>3249582000</v>
      </c>
      <c r="C67">
        <v>398157000</v>
      </c>
      <c r="D67">
        <v>637832000</v>
      </c>
      <c r="E67">
        <v>864398000</v>
      </c>
      <c r="F67">
        <v>0.1226780120935997</v>
      </c>
    </row>
    <row r="68" spans="1:6" x14ac:dyDescent="0.25">
      <c r="A68" s="73" t="s">
        <v>99</v>
      </c>
      <c r="B68">
        <v>3063718000</v>
      </c>
      <c r="C68">
        <v>137194000</v>
      </c>
      <c r="D68">
        <v>624351000</v>
      </c>
      <c r="E68">
        <v>749142000</v>
      </c>
      <c r="F68">
        <v>8.4758348161562136E-2</v>
      </c>
    </row>
    <row r="69" spans="1:6" x14ac:dyDescent="0.25">
      <c r="A69" s="73" t="s">
        <v>100</v>
      </c>
      <c r="B69">
        <v>2894693000</v>
      </c>
      <c r="C69">
        <v>40715000</v>
      </c>
      <c r="D69">
        <v>590308000</v>
      </c>
      <c r="E69">
        <v>630902000</v>
      </c>
      <c r="F69">
        <v>-8.3300835726252243E-2</v>
      </c>
    </row>
    <row r="70" spans="1:6" x14ac:dyDescent="0.25">
      <c r="A70" s="73" t="s">
        <v>101</v>
      </c>
      <c r="B70">
        <v>2671981000</v>
      </c>
      <c r="C70">
        <v>-155200000</v>
      </c>
      <c r="D70">
        <v>590759000</v>
      </c>
      <c r="E70">
        <v>529474000</v>
      </c>
      <c r="F70">
        <v>0.35232469187045301</v>
      </c>
    </row>
    <row r="71" spans="1:6" x14ac:dyDescent="0.25">
      <c r="A71" s="73" t="s">
        <v>102</v>
      </c>
      <c r="B71">
        <v>2434133000</v>
      </c>
      <c r="C71">
        <v>-80498000</v>
      </c>
      <c r="D71">
        <v>587534000</v>
      </c>
      <c r="E71">
        <v>496448000</v>
      </c>
      <c r="F71">
        <v>0.1441065533071422</v>
      </c>
    </row>
    <row r="72" spans="1:6" x14ac:dyDescent="0.25">
      <c r="A72" s="73" t="s">
        <v>103</v>
      </c>
      <c r="B72">
        <v>2351407000</v>
      </c>
      <c r="C72">
        <v>134043000</v>
      </c>
      <c r="D72">
        <v>587426000</v>
      </c>
      <c r="E72">
        <v>592943000</v>
      </c>
      <c r="F72">
        <v>0.34039785224752311</v>
      </c>
    </row>
    <row r="73" spans="1:6" x14ac:dyDescent="0.25">
      <c r="A73" s="73" t="s">
        <v>104</v>
      </c>
      <c r="B73">
        <v>2237553000</v>
      </c>
      <c r="C73">
        <v>148586000</v>
      </c>
      <c r="D73">
        <v>586152000</v>
      </c>
      <c r="E73">
        <v>596380000</v>
      </c>
    </row>
    <row r="74" spans="1:6" x14ac:dyDescent="0.25">
      <c r="A74" s="73" t="s">
        <v>105</v>
      </c>
      <c r="B74">
        <v>2104595000</v>
      </c>
      <c r="C74">
        <v>318184000</v>
      </c>
      <c r="D74">
        <v>628104000</v>
      </c>
      <c r="E74">
        <v>875672000</v>
      </c>
    </row>
    <row r="75" spans="1:6" x14ac:dyDescent="0.25">
      <c r="A75" s="73" t="s">
        <v>106</v>
      </c>
      <c r="B75">
        <v>2010223000</v>
      </c>
      <c r="C75">
        <v>296541000</v>
      </c>
      <c r="D75">
        <v>633533000</v>
      </c>
      <c r="E75">
        <v>797726000</v>
      </c>
    </row>
    <row r="76" spans="1:6" x14ac:dyDescent="0.25">
      <c r="A76" s="73" t="s">
        <v>107</v>
      </c>
      <c r="B76">
        <v>1826692000</v>
      </c>
      <c r="C76">
        <v>270023000</v>
      </c>
      <c r="D76">
        <v>639516000</v>
      </c>
      <c r="E76">
        <v>921410000</v>
      </c>
      <c r="F76">
        <v>0.42884557392329409</v>
      </c>
    </row>
    <row r="77" spans="1:6" x14ac:dyDescent="0.25">
      <c r="A77" s="73" t="s">
        <v>108</v>
      </c>
      <c r="B77">
        <v>1670266000</v>
      </c>
      <c r="C77">
        <v>302797000</v>
      </c>
      <c r="D77">
        <v>631316000</v>
      </c>
      <c r="E77">
        <v>921022000</v>
      </c>
      <c r="F77">
        <v>0.36530008875409248</v>
      </c>
    </row>
    <row r="78" spans="1:6" x14ac:dyDescent="0.25">
      <c r="A78" s="73" t="s">
        <v>109</v>
      </c>
      <c r="B78">
        <v>1521516000</v>
      </c>
      <c r="C78">
        <v>247456000</v>
      </c>
      <c r="D78">
        <v>632430000</v>
      </c>
      <c r="E78">
        <v>914866000</v>
      </c>
      <c r="F78">
        <v>0.26686042074040478</v>
      </c>
    </row>
    <row r="79" spans="1:6" x14ac:dyDescent="0.25">
      <c r="A79" s="73" t="s">
        <v>110</v>
      </c>
      <c r="B79">
        <v>1413073000</v>
      </c>
      <c r="C79">
        <v>251547000</v>
      </c>
      <c r="D79">
        <v>626214000</v>
      </c>
      <c r="E79">
        <v>847064000</v>
      </c>
      <c r="F79">
        <v>0.14986673576663939</v>
      </c>
    </row>
    <row r="80" spans="1:6" x14ac:dyDescent="0.25">
      <c r="A80" s="73" t="s">
        <v>111</v>
      </c>
      <c r="B80">
        <v>1319773000</v>
      </c>
      <c r="C80">
        <v>205390000</v>
      </c>
      <c r="D80">
        <v>621472000</v>
      </c>
      <c r="E80">
        <v>726771000</v>
      </c>
      <c r="F80">
        <v>0.25646846726538253</v>
      </c>
    </row>
    <row r="81" spans="1:6" x14ac:dyDescent="0.25">
      <c r="A81" s="73" t="s">
        <v>112</v>
      </c>
      <c r="B81">
        <v>1224580000</v>
      </c>
      <c r="C81">
        <v>175768000</v>
      </c>
      <c r="D81">
        <v>598024000</v>
      </c>
      <c r="E81">
        <v>660014000</v>
      </c>
      <c r="F81">
        <v>0.39857949641174878</v>
      </c>
    </row>
    <row r="82" spans="1:6" x14ac:dyDescent="0.25">
      <c r="A82" s="73" t="s">
        <v>113</v>
      </c>
      <c r="B82">
        <v>1127608000</v>
      </c>
      <c r="C82">
        <v>103626000</v>
      </c>
      <c r="D82">
        <v>601298000</v>
      </c>
      <c r="E82">
        <v>577291000</v>
      </c>
      <c r="F82">
        <v>0.47485963470192399</v>
      </c>
    </row>
    <row r="83" spans="1:6" x14ac:dyDescent="0.25">
      <c r="A83" s="73" t="s">
        <v>114</v>
      </c>
      <c r="B83">
        <v>1025356000</v>
      </c>
      <c r="C83">
        <v>58639000</v>
      </c>
      <c r="D83">
        <v>592050000</v>
      </c>
      <c r="E83">
        <v>482418000</v>
      </c>
      <c r="F83">
        <v>0.38674126022794453</v>
      </c>
    </row>
    <row r="84" spans="1:6" x14ac:dyDescent="0.25">
      <c r="A84" s="73" t="s">
        <v>115</v>
      </c>
      <c r="B84">
        <v>921056000</v>
      </c>
      <c r="C84">
        <v>43198000</v>
      </c>
      <c r="D84">
        <v>584368000</v>
      </c>
      <c r="E84">
        <v>421412000</v>
      </c>
      <c r="F84">
        <v>0.42393468145920871</v>
      </c>
    </row>
    <row r="85" spans="1:6" x14ac:dyDescent="0.25">
      <c r="A85" s="73" t="s">
        <v>116</v>
      </c>
      <c r="B85">
        <v>819762000</v>
      </c>
      <c r="C85">
        <v>54572000</v>
      </c>
      <c r="D85">
        <v>552964000</v>
      </c>
      <c r="E85">
        <v>386271000</v>
      </c>
      <c r="F85">
        <v>0.61285275809263684</v>
      </c>
    </row>
    <row r="86" spans="1:6" x14ac:dyDescent="0.25">
      <c r="A86" s="73" t="s">
        <v>117</v>
      </c>
      <c r="B86">
        <v>727315000</v>
      </c>
      <c r="C86">
        <v>92017000</v>
      </c>
      <c r="D86">
        <v>569670000</v>
      </c>
      <c r="E86">
        <v>400308000</v>
      </c>
      <c r="F86">
        <v>0.58396839875242756</v>
      </c>
    </row>
    <row r="87" spans="1:6" x14ac:dyDescent="0.25">
      <c r="A87" s="73" t="s">
        <v>118</v>
      </c>
      <c r="B87">
        <v>647928000</v>
      </c>
      <c r="C87">
        <v>79966000</v>
      </c>
      <c r="D87">
        <v>547216000</v>
      </c>
      <c r="E87">
        <v>343980000</v>
      </c>
      <c r="F87">
        <v>0.34268773706284361</v>
      </c>
    </row>
    <row r="88" spans="1:6" x14ac:dyDescent="0.25">
      <c r="A88" s="73" t="s">
        <v>119</v>
      </c>
      <c r="B88">
        <v>574768000</v>
      </c>
      <c r="C88">
        <v>45250000</v>
      </c>
      <c r="D88">
        <v>518292000</v>
      </c>
      <c r="E88">
        <v>298925000</v>
      </c>
      <c r="F88">
        <v>0.36261538461538462</v>
      </c>
    </row>
    <row r="89" spans="1:6" x14ac:dyDescent="0.25">
      <c r="A89" s="73" t="s">
        <v>120</v>
      </c>
      <c r="B89">
        <v>505285000</v>
      </c>
      <c r="C89">
        <v>12038000</v>
      </c>
      <c r="D89">
        <v>476960000</v>
      </c>
      <c r="E89">
        <v>265228000</v>
      </c>
      <c r="F89">
        <v>0.82147169629057193</v>
      </c>
    </row>
    <row r="90" spans="1:6" x14ac:dyDescent="0.25">
      <c r="A90" s="73" t="s">
        <v>121</v>
      </c>
      <c r="B90">
        <v>437254000</v>
      </c>
      <c r="C90">
        <v>22334000</v>
      </c>
      <c r="D90">
        <v>478308000</v>
      </c>
      <c r="E90">
        <v>256397000</v>
      </c>
      <c r="F90">
        <v>0.39477428180574559</v>
      </c>
    </row>
    <row r="91" spans="1:6" x14ac:dyDescent="0.25">
      <c r="A91" s="73" t="s">
        <v>122</v>
      </c>
      <c r="B91">
        <v>374410000</v>
      </c>
      <c r="C91">
        <v>12287000</v>
      </c>
      <c r="D91">
        <v>475544000</v>
      </c>
      <c r="E91">
        <v>250350000</v>
      </c>
      <c r="F91">
        <v>0.1623767279931245</v>
      </c>
    </row>
    <row r="92" spans="1:6" x14ac:dyDescent="0.25">
      <c r="A92" s="73" t="s">
        <v>123</v>
      </c>
      <c r="B92">
        <v>323365000</v>
      </c>
      <c r="C92">
        <v>21481000</v>
      </c>
      <c r="D92">
        <v>472356000</v>
      </c>
      <c r="E92">
        <v>257021000</v>
      </c>
      <c r="F92">
        <v>0.53822201463490571</v>
      </c>
    </row>
    <row r="93" spans="1:6" x14ac:dyDescent="0.25">
      <c r="A93" s="73" t="s">
        <v>124</v>
      </c>
      <c r="B93">
        <v>288795000</v>
      </c>
      <c r="C93">
        <v>25397000</v>
      </c>
      <c r="D93">
        <v>457412000</v>
      </c>
      <c r="E93">
        <v>250244000</v>
      </c>
      <c r="F93">
        <v>0.98716488885980413</v>
      </c>
    </row>
    <row r="94" spans="1:6" x14ac:dyDescent="0.25">
      <c r="A94" s="73" t="s">
        <v>125</v>
      </c>
      <c r="B94">
        <v>251822000</v>
      </c>
      <c r="C94">
        <v>2056000</v>
      </c>
      <c r="D94">
        <v>459148000</v>
      </c>
      <c r="E94">
        <v>210242000</v>
      </c>
      <c r="F94">
        <v>1.018667844913288</v>
      </c>
    </row>
    <row r="95" spans="1:6" x14ac:dyDescent="0.25">
      <c r="A95" s="73" t="s">
        <v>126</v>
      </c>
      <c r="B95">
        <v>214934000</v>
      </c>
      <c r="C95">
        <v>7197000</v>
      </c>
      <c r="D95">
        <v>454856000</v>
      </c>
      <c r="E95">
        <v>215379000</v>
      </c>
      <c r="F95">
        <v>1.133613053613054</v>
      </c>
    </row>
    <row r="96" spans="1:6" x14ac:dyDescent="0.25">
      <c r="A96" s="73" t="s">
        <v>127</v>
      </c>
      <c r="B96">
        <v>178460000</v>
      </c>
      <c r="C96">
        <v>2258000</v>
      </c>
      <c r="D96">
        <v>450068000</v>
      </c>
      <c r="E96">
        <v>198209000</v>
      </c>
      <c r="F96">
        <v>1.165250809061489</v>
      </c>
    </row>
    <row r="97" spans="1:5" x14ac:dyDescent="0.25">
      <c r="A97" s="73" t="s">
        <v>128</v>
      </c>
      <c r="B97">
        <v>143894000</v>
      </c>
      <c r="C97">
        <v>31000</v>
      </c>
      <c r="D97">
        <v>265036000</v>
      </c>
      <c r="E97">
        <v>224063000</v>
      </c>
    </row>
    <row r="98" spans="1:5" x14ac:dyDescent="0.25">
      <c r="A98" s="73" t="s">
        <v>129</v>
      </c>
      <c r="D98">
        <v>388600000</v>
      </c>
      <c r="E98">
        <v>115824000</v>
      </c>
    </row>
    <row r="99" spans="1:5" x14ac:dyDescent="0.25">
      <c r="A99" s="73" t="s">
        <v>130</v>
      </c>
      <c r="D99">
        <v>360224000</v>
      </c>
      <c r="E99">
        <v>112298000</v>
      </c>
    </row>
    <row r="100" spans="1:5" x14ac:dyDescent="0.25">
      <c r="A100" s="73" t="s">
        <v>131</v>
      </c>
      <c r="D100">
        <v>339184000</v>
      </c>
      <c r="E100">
        <v>15703000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132</v>
      </c>
      <c r="B1" s="27" t="s">
        <v>133</v>
      </c>
      <c r="C1" t="s">
        <v>134</v>
      </c>
      <c r="D1" t="s">
        <v>135</v>
      </c>
      <c r="F1" s="27" t="s">
        <v>133</v>
      </c>
      <c r="G1" t="s">
        <v>134</v>
      </c>
      <c r="H1" t="s">
        <v>135</v>
      </c>
      <c r="J1" t="s">
        <v>136</v>
      </c>
      <c r="K1" t="s">
        <v>134</v>
      </c>
      <c r="L1" t="s">
        <v>135</v>
      </c>
      <c r="N1" t="s">
        <v>137</v>
      </c>
      <c r="O1" t="s">
        <v>134</v>
      </c>
      <c r="P1" t="s">
        <v>135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138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139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140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141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142</v>
      </c>
    </row>
    <row r="7" spans="1:46" x14ac:dyDescent="0.25">
      <c r="A7" s="27" t="s">
        <v>143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144</v>
      </c>
    </row>
    <row r="8" spans="1:46" x14ac:dyDescent="0.25">
      <c r="A8" s="27" t="s">
        <v>145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146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147</v>
      </c>
    </row>
    <row r="10" spans="1:46" x14ac:dyDescent="0.25">
      <c r="A10" s="27" t="s">
        <v>148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149</v>
      </c>
    </row>
    <row r="11" spans="1:46" x14ac:dyDescent="0.25">
      <c r="A11" s="27" t="s">
        <v>150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43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151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152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153</v>
      </c>
    </row>
    <row r="15" spans="1:46" x14ac:dyDescent="0.25">
      <c r="A15" s="27" t="s">
        <v>46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154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49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50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51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52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53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54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55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56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57</v>
      </c>
      <c r="J26">
        <v>0.61799999999999999</v>
      </c>
      <c r="N26">
        <v>-0.36399999999999999</v>
      </c>
    </row>
    <row r="27" spans="1:17" x14ac:dyDescent="0.25">
      <c r="A27" s="27" t="s">
        <v>58</v>
      </c>
    </row>
    <row r="28" spans="1:17" x14ac:dyDescent="0.25">
      <c r="A28" s="27" t="s">
        <v>59</v>
      </c>
    </row>
    <row r="29" spans="1:17" x14ac:dyDescent="0.25">
      <c r="A29" s="27" t="s">
        <v>60</v>
      </c>
    </row>
    <row r="31" spans="1:17" x14ac:dyDescent="0.25">
      <c r="A31" s="26" t="s">
        <v>155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156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157</v>
      </c>
      <c r="C1" s="73" t="s">
        <v>158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159</v>
      </c>
      <c r="D2">
        <v>1.925959410778969</v>
      </c>
      <c r="E2">
        <v>0.17414120880852979</v>
      </c>
    </row>
    <row r="3" spans="1:5" x14ac:dyDescent="0.25">
      <c r="A3" s="73">
        <v>1</v>
      </c>
      <c r="B3">
        <v>3</v>
      </c>
      <c r="C3" t="s">
        <v>160</v>
      </c>
      <c r="D3">
        <v>1.942487850511508</v>
      </c>
      <c r="E3">
        <v>0.1752861338363689</v>
      </c>
    </row>
    <row r="4" spans="1:5" x14ac:dyDescent="0.25">
      <c r="A4" s="73">
        <v>2</v>
      </c>
      <c r="B4">
        <v>3</v>
      </c>
      <c r="C4" t="s">
        <v>161</v>
      </c>
      <c r="D4">
        <v>2.2518119196570132</v>
      </c>
      <c r="E4">
        <v>0.19671301224767529</v>
      </c>
    </row>
    <row r="5" spans="1:5" x14ac:dyDescent="0.25">
      <c r="A5" s="73">
        <v>3</v>
      </c>
      <c r="B5">
        <v>5</v>
      </c>
      <c r="C5" t="s">
        <v>159</v>
      </c>
      <c r="D5">
        <v>1.4516518104891549</v>
      </c>
      <c r="E5">
        <v>0.14128592111933361</v>
      </c>
    </row>
    <row r="6" spans="1:5" x14ac:dyDescent="0.25">
      <c r="A6" s="73">
        <v>4</v>
      </c>
      <c r="B6">
        <v>5</v>
      </c>
      <c r="C6" t="s">
        <v>160</v>
      </c>
      <c r="D6">
        <v>1.582890330321546</v>
      </c>
      <c r="E6">
        <v>0.1503768134481995</v>
      </c>
    </row>
    <row r="7" spans="1:5" x14ac:dyDescent="0.25">
      <c r="A7" s="73">
        <v>5</v>
      </c>
      <c r="B7">
        <v>5</v>
      </c>
      <c r="C7" t="s">
        <v>161</v>
      </c>
      <c r="D7">
        <v>1.617600666263592</v>
      </c>
      <c r="E7">
        <v>0.15278119843479421</v>
      </c>
    </row>
    <row r="8" spans="1:5" x14ac:dyDescent="0.25">
      <c r="A8" s="73">
        <v>6</v>
      </c>
      <c r="B8" t="s">
        <v>155</v>
      </c>
      <c r="D8">
        <v>1.795400331336964</v>
      </c>
      <c r="E8">
        <v>0.16509738131581689</v>
      </c>
    </row>
    <row r="9" spans="1:5" x14ac:dyDescent="0.25">
      <c r="A9" s="73">
        <v>7</v>
      </c>
      <c r="B9" t="s">
        <v>156</v>
      </c>
      <c r="D9">
        <v>1.771780038521281</v>
      </c>
      <c r="E9">
        <v>0.163461203621662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2024-10-18T21:07:22Z</dcterms:modified>
</cp:coreProperties>
</file>