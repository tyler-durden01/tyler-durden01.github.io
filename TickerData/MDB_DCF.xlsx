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8F277026FDA8065CD850200D547740DC62E0595E" xr6:coauthVersionLast="47" xr6:coauthVersionMax="47" xr10:uidLastSave="{ADA2FC28-0628-463D-AA6C-55D456A75CDC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L8" i="3"/>
  <c r="M5" i="3"/>
  <c r="N5" i="3" s="1"/>
  <c r="O5" i="3" s="1"/>
  <c r="P5" i="3" s="1"/>
  <c r="Q5" i="3" s="1"/>
  <c r="R5" i="3" s="1"/>
  <c r="S5" i="3" s="1"/>
  <c r="T5" i="3" s="1"/>
  <c r="U5" i="3" s="1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O31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1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L5" i="3"/>
  <c r="J4" i="3"/>
  <c r="H4" i="3"/>
  <c r="H5" i="3" s="1"/>
  <c r="G4" i="3"/>
  <c r="G5" i="3" s="1"/>
  <c r="E4" i="3"/>
  <c r="J3" i="3"/>
  <c r="I3" i="3"/>
  <c r="G3" i="3"/>
  <c r="K1" i="3"/>
  <c r="K10" i="3" s="1"/>
  <c r="J1" i="3"/>
  <c r="J7" i="3" s="1"/>
  <c r="I1" i="3"/>
  <c r="I7" i="3" s="1"/>
  <c r="H1" i="3"/>
  <c r="H3" i="3" s="1"/>
  <c r="G1" i="3"/>
  <c r="G7" i="3" s="1"/>
  <c r="F1" i="3"/>
  <c r="F4" i="3" s="1"/>
  <c r="F5" i="3" s="1"/>
  <c r="E1" i="3"/>
  <c r="E10" i="3" s="1"/>
  <c r="D1" i="3"/>
  <c r="D10" i="3" s="1"/>
  <c r="J8" i="3" l="1"/>
  <c r="C21" i="3"/>
  <c r="C20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E11" i="3"/>
  <c r="F11" i="3"/>
  <c r="G8" i="3"/>
  <c r="G13" i="3"/>
  <c r="K3" i="3"/>
  <c r="I4" i="3"/>
  <c r="I5" i="3" s="1"/>
  <c r="E7" i="3"/>
  <c r="H10" i="3"/>
  <c r="H11" i="3" s="1"/>
  <c r="L1" i="3"/>
  <c r="D7" i="3"/>
  <c r="D3" i="3"/>
  <c r="E3" i="3"/>
  <c r="K4" i="3"/>
  <c r="J10" i="3"/>
  <c r="J11" i="3" s="1"/>
  <c r="K7" i="3"/>
  <c r="F7" i="3"/>
  <c r="I10" i="3"/>
  <c r="I11" i="3" s="1"/>
  <c r="F3" i="3"/>
  <c r="D4" i="3"/>
  <c r="E5" i="3" s="1"/>
  <c r="H7" i="3"/>
  <c r="K5" i="3" l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11" i="3"/>
  <c r="L11" i="3" s="1"/>
  <c r="D8" i="3"/>
  <c r="D13" i="3"/>
  <c r="J5" i="3"/>
  <c r="J13" i="3"/>
  <c r="L3" i="3"/>
  <c r="M1" i="3"/>
  <c r="H13" i="3"/>
  <c r="H8" i="3"/>
  <c r="F8" i="3"/>
  <c r="F13" i="3"/>
  <c r="I8" i="3"/>
  <c r="K8" i="3"/>
  <c r="K13" i="3"/>
  <c r="E8" i="3"/>
  <c r="E13" i="3"/>
  <c r="I13" i="3"/>
  <c r="N11" i="3" l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N3" i="3" l="1"/>
  <c r="O1" i="3"/>
  <c r="M8" i="3"/>
  <c r="L7" i="3"/>
  <c r="L13" i="3" s="1"/>
  <c r="L14" i="3" s="1"/>
  <c r="O3" i="3" l="1"/>
  <c r="P1" i="3"/>
  <c r="N8" i="3"/>
  <c r="M7" i="3"/>
  <c r="M13" i="3" s="1"/>
  <c r="M14" i="3" s="1"/>
  <c r="O8" i="3" l="1"/>
  <c r="N7" i="3"/>
  <c r="N13" i="3" s="1"/>
  <c r="N14" i="3" s="1"/>
  <c r="P3" i="3"/>
  <c r="Q1" i="3"/>
  <c r="R1" i="3" l="1"/>
  <c r="Q3" i="3"/>
  <c r="P8" i="3"/>
  <c r="O7" i="3"/>
  <c r="O13" i="3" s="1"/>
  <c r="O14" i="3" s="1"/>
  <c r="P7" i="3" l="1"/>
  <c r="P13" i="3" s="1"/>
  <c r="P14" i="3" s="1"/>
  <c r="Q8" i="3"/>
  <c r="S1" i="3"/>
  <c r="R3" i="3"/>
  <c r="T1" i="3" l="1"/>
  <c r="S3" i="3"/>
  <c r="Q7" i="3"/>
  <c r="Q13" i="3" s="1"/>
  <c r="Q14" i="3" s="1"/>
  <c r="R8" i="3"/>
  <c r="R7" i="3" l="1"/>
  <c r="R13" i="3" s="1"/>
  <c r="R14" i="3" s="1"/>
  <c r="S8" i="3"/>
  <c r="T3" i="3"/>
  <c r="U1" i="3"/>
  <c r="U3" i="3" s="1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<sst xmlns="http://schemas.openxmlformats.org/spreadsheetml/2006/main" count="131" uniqueCount="86">
  <si>
    <t>This sheet contains FactSet XML data for use with this workbook's =FDS codes.  Modifying the worksheet's contents may damage the workbook's =FDS functionality.</t>
  </si>
  <si>
    <t>MDB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</si>
  <si>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</si>
  <si>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</si>
  <si>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</si>
  <si>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</si>
  <si>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</si>
  <si>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</si>
  <si>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</si>
  <si>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</si>
  <si>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</si>
  <si>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</si>
  <si>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</si>
  <si>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</si>
  <si>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</si>
  <si>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</si>
  <si>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</si>
  <si>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</si>
  <si>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</si>
  <si>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</si>
  <si>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</si>
  <si>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</si>
  <si>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</si>
  <si>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</si>
  <si>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</si>
  <si>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</si>
  <si>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</si>
  <si>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</si>
  <si>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</si>
  <si>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</si>
  <si>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</si>
  <si>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</si>
  <si>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</si>
  <si>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</si>
  <si>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</si>
  <si>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</si>
  <si>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</si>
  <si>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</si>
  <si>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</si>
  <si>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</si>
  <si>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</si>
  <si>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</si>
  <si>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</si>
  <si>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</si>
  <si>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</si>
  <si>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</si>
  <si>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</si>
  <si>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</si>
  <si>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</si>
  <si>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</si>
  <si>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</si>
  <si>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</si>
  <si>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</si>
  <si>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</si>
  <si>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</si>
  <si>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</si>
  <si>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</si>
  <si>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</si>
  <si>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</si>
  <si>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</si>
  <si>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</si>
  <si>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</si>
  <si>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</si>
  <si>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</si>
  <si>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</si>
  <si>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</si>
  <si>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</si>
  <si>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</si>
  <si>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date</t>
  </si>
  <si>
    <t>revenue</t>
  </si>
  <si>
    <t>Deriv1</t>
  </si>
  <si>
    <t>Static1</t>
  </si>
  <si>
    <t>grossProfit_margin</t>
  </si>
  <si>
    <t>FCF_margin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</si>
  <si>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</si>
  <si>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</si>
  <si>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</si>
  <si>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</si>
  <si>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add more to show the return, and also the market cap valuations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</si>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</sst>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1768183000</v>
      </c>
    </row>
    <row r="3" spans="1:2" x14ac:dyDescent="0.25">
      <c r="A3" s="72" t="s">
        <v>3</v>
      </c>
      <c r="B3">
        <v>1144977000</v>
      </c>
    </row>
    <row r="4" spans="1:2" x14ac:dyDescent="0.25">
      <c r="A4" s="72" t="s">
        <v>4</v>
      </c>
      <c r="B4">
        <v>0.45652553564080728</v>
      </c>
    </row>
    <row r="5" spans="1:2" x14ac:dyDescent="0.25">
      <c r="A5" s="72" t="s">
        <v>5</v>
      </c>
      <c r="B5">
        <v>4.0472428703808034E-3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1363047000</v>
      </c>
    </row>
    <row r="8" spans="1:2" x14ac:dyDescent="0.25">
      <c r="A8" s="72" t="s">
        <v>8</v>
      </c>
      <c r="B8">
        <v>0.54347446435919278</v>
      </c>
    </row>
    <row r="9" spans="1:2" x14ac:dyDescent="0.25">
      <c r="A9" s="72" t="s">
        <v>9</v>
      </c>
      <c r="B9">
        <v>0.14059345710556581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1.4416552173147399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7.7868612871077034E-2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0" sqref="L10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2017-07-31</v>
      </c>
      <c r="E1" s="65" t="str">
        <f>Python!A27</f>
        <v>2018-07-31</v>
      </c>
      <c r="F1" s="65" t="str">
        <f>Python!A23</f>
        <v>2019-07-31</v>
      </c>
      <c r="G1" s="65" t="str">
        <f>Python!A19</f>
        <v>2020-07-31</v>
      </c>
      <c r="H1" s="65" t="str">
        <f>Python!A15</f>
        <v>2021-07-31</v>
      </c>
      <c r="I1" s="65" t="str">
        <f>Python!A11</f>
        <v>2022-07-31</v>
      </c>
      <c r="J1" s="65" t="str">
        <f>Python!A7</f>
        <v>2023-07-31</v>
      </c>
      <c r="K1" s="65" t="str">
        <f>Python!A3</f>
        <v>2024-07-31</v>
      </c>
      <c r="L1" s="28">
        <f t="shared" ref="L1:U1" si="0">EDATE(K1, 12)</f>
        <v>45869</v>
      </c>
      <c r="M1" s="28">
        <f t="shared" si="0"/>
        <v>46234</v>
      </c>
      <c r="N1" s="28">
        <f t="shared" si="0"/>
        <v>46599</v>
      </c>
      <c r="O1" s="28">
        <f t="shared" si="0"/>
        <v>46965</v>
      </c>
      <c r="P1" s="28">
        <f t="shared" si="0"/>
        <v>47330</v>
      </c>
      <c r="Q1" s="28">
        <f t="shared" si="0"/>
        <v>47695</v>
      </c>
      <c r="R1" s="28">
        <f t="shared" si="0"/>
        <v>48060</v>
      </c>
      <c r="S1" s="28">
        <f t="shared" si="0"/>
        <v>48426</v>
      </c>
      <c r="T1" s="28">
        <f t="shared" si="0"/>
        <v>48791</v>
      </c>
      <c r="U1" s="28">
        <f t="shared" si="0"/>
        <v>49156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124.229</v>
      </c>
      <c r="E4" s="36">
        <f>IFERROR(INDEX(Python!$1:$1048576,MATCH(DCF_Simple!E$1,Python!$A:$A,0),MATCH(DCF_Simple!$B4,Python!$1:$1,0))/1000000,0)</f>
        <v>192.24100000000001</v>
      </c>
      <c r="F4" s="36">
        <f>IFERROR(INDEX(Python!$1:$1048576,MATCH(DCF_Simple!F$1,Python!$A:$A,0),MATCH(DCF_Simple!$B4,Python!$1:$1,0))/1000000,0)</f>
        <v>339.22500000000002</v>
      </c>
      <c r="G4" s="36">
        <f>IFERROR(INDEX(Python!$1:$1048576,MATCH(DCF_Simple!G$1,Python!$A:$A,0),MATCH(DCF_Simple!$B4,Python!$1:$1,0))/1000000,0)</f>
        <v>501.57400000000001</v>
      </c>
      <c r="H4" s="36">
        <f>IFERROR(INDEX(Python!$1:$1048576,MATCH(DCF_Simple!H$1,Python!$A:$A,0),MATCH(DCF_Simple!$B4,Python!$1:$1,0))/1000000,0)</f>
        <v>702.16499999999996</v>
      </c>
      <c r="I4" s="36">
        <f>IFERROR(INDEX(Python!$1:$1048576,MATCH(DCF_Simple!I$1,Python!$A:$A,0),MATCH(DCF_Simple!$B4,Python!$1:$1,0))/1000000,0)</f>
        <v>1082.4939999999999</v>
      </c>
      <c r="J4" s="36">
        <f>IFERROR(INDEX(Python!$1:$1048576,MATCH(DCF_Simple!J$1,Python!$A:$A,0),MATCH(DCF_Simple!$B4,Python!$1:$1,0))/1000000,0)</f>
        <v>1487.0039999999999</v>
      </c>
      <c r="K4" s="54">
        <f>IFERROR(INDEX(Python!$1:$1048576,MATCH(DCF_Simple!K$1,Python!$A:$A,0),MATCH(DCF_Simple!$B4,Python!$1:$1,0))/1000000,0)</f>
        <v>1819.61</v>
      </c>
      <c r="L4" s="37">
        <f t="shared" ref="L4:U4" si="2">K4*(1+L5)</f>
        <v>2092.052611690357</v>
      </c>
      <c r="M4" s="36">
        <f t="shared" si="2"/>
        <v>2405.2869186696294</v>
      </c>
      <c r="N4" s="36">
        <f t="shared" si="2"/>
        <v>2765.4204912412274</v>
      </c>
      <c r="O4" s="36">
        <f t="shared" si="2"/>
        <v>3179.4753607219354</v>
      </c>
      <c r="P4" s="36">
        <f t="shared" si="2"/>
        <v>3655.5249378732069</v>
      </c>
      <c r="Q4" s="36">
        <f t="shared" si="2"/>
        <v>4202.8514315577922</v>
      </c>
      <c r="R4" s="36">
        <f t="shared" si="2"/>
        <v>4832.1268370348789</v>
      </c>
      <c r="S4" s="36">
        <f t="shared" si="2"/>
        <v>5555.6210228773662</v>
      </c>
      <c r="T4" s="36">
        <f t="shared" si="2"/>
        <v>6387.4409738748682</v>
      </c>
      <c r="U4" s="36">
        <f t="shared" si="2"/>
        <v>7343.8058547781766</v>
      </c>
      <c r="V4" s="19">
        <f>U4</f>
        <v>7343.8058547781766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0.54747281230630551</v>
      </c>
      <c r="F5" s="42">
        <f t="shared" si="3"/>
        <v>0.76458195702269549</v>
      </c>
      <c r="G5" s="42">
        <f t="shared" si="3"/>
        <v>0.47858795784508801</v>
      </c>
      <c r="H5" s="42">
        <f t="shared" si="3"/>
        <v>0.39992304226295605</v>
      </c>
      <c r="I5" s="42">
        <f t="shared" si="3"/>
        <v>0.54165189093731536</v>
      </c>
      <c r="J5" s="42">
        <f t="shared" si="3"/>
        <v>0.3736833645267319</v>
      </c>
      <c r="K5" s="57">
        <f t="shared" si="3"/>
        <v>0.22367525574914393</v>
      </c>
      <c r="L5" s="38">
        <f>Python!F2</f>
        <v>0.14972582679275079</v>
      </c>
      <c r="M5" s="38">
        <f>L5</f>
        <v>0.14972582679275079</v>
      </c>
      <c r="N5" s="38">
        <f t="shared" ref="N5:U5" si="4">M5</f>
        <v>0.14972582679275079</v>
      </c>
      <c r="O5" s="38">
        <f t="shared" si="4"/>
        <v>0.14972582679275079</v>
      </c>
      <c r="P5" s="38">
        <f t="shared" si="4"/>
        <v>0.14972582679275079</v>
      </c>
      <c r="Q5" s="38">
        <f t="shared" si="4"/>
        <v>0.14972582679275079</v>
      </c>
      <c r="R5" s="38">
        <f t="shared" si="4"/>
        <v>0.14972582679275079</v>
      </c>
      <c r="S5" s="38">
        <f t="shared" si="4"/>
        <v>0.14972582679275079</v>
      </c>
      <c r="T5" s="38">
        <f t="shared" si="4"/>
        <v>0.14972582679275079</v>
      </c>
      <c r="U5" s="38">
        <f t="shared" si="4"/>
        <v>0.14972582679275079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-45.301000000000002</v>
      </c>
      <c r="E7" s="51">
        <f>IFERROR(INDEX(Python!$1:$1048576,MATCH(DCF_Simple!E$1,Python!$A:$A,0),MATCH(DCF_Simple!$B7,Python!$1:$1,0))/1000000,0)</f>
        <v>-44.982999999999997</v>
      </c>
      <c r="F7" s="51">
        <f>IFERROR(INDEX(Python!$1:$1048576,MATCH(DCF_Simple!F$1,Python!$A:$A,0),MATCH(DCF_Simple!$B7,Python!$1:$1,0))/1000000,0)</f>
        <v>-33.35</v>
      </c>
      <c r="G7" s="51">
        <f>IFERROR(INDEX(Python!$1:$1048576,MATCH(DCF_Simple!G$1,Python!$A:$A,0),MATCH(DCF_Simple!$B7,Python!$1:$1,0))/1000000,0)</f>
        <v>-43.332999999999998</v>
      </c>
      <c r="H7" s="51">
        <f>IFERROR(INDEX(Python!$1:$1048576,MATCH(DCF_Simple!H$1,Python!$A:$A,0),MATCH(DCF_Simple!$B7,Python!$1:$1,0))/1000000,0)</f>
        <v>-45.115000000000002</v>
      </c>
      <c r="I7" s="51">
        <f>IFERROR(INDEX(Python!$1:$1048576,MATCH(DCF_Simple!I$1,Python!$A:$A,0),MATCH(DCF_Simple!$B7,Python!$1:$1,0))/1000000,0)</f>
        <v>-27.468</v>
      </c>
      <c r="J7" s="51">
        <f>IFERROR(INDEX(Python!$1:$1048576,MATCH(DCF_Simple!J$1,Python!$A:$A,0),MATCH(DCF_Simple!$B7,Python!$1:$1,0))/1000000,0)</f>
        <v>45.204999999999998</v>
      </c>
      <c r="K7" s="56">
        <f>IFERROR(INDEX(Python!$1:$1048576,MATCH(DCF_Simple!K$1,Python!$A:$A,0),MATCH(DCF_Simple!$B7,Python!$1:$1,0))/1000000,0)</f>
        <v>148.858</v>
      </c>
      <c r="L7" s="63">
        <f t="shared" ref="L7:U7" si="5">L8*L4</f>
        <v>117.37219841018005</v>
      </c>
      <c r="M7" s="63">
        <f t="shared" si="5"/>
        <v>134.94584785962704</v>
      </c>
      <c r="N7" s="63">
        <f t="shared" si="5"/>
        <v>155.15072650265844</v>
      </c>
      <c r="O7" s="63">
        <f t="shared" si="5"/>
        <v>178.38079730576496</v>
      </c>
      <c r="P7" s="63">
        <f t="shared" si="5"/>
        <v>205.08900966632069</v>
      </c>
      <c r="Q7" s="63">
        <f t="shared" si="5"/>
        <v>235.79613120471706</v>
      </c>
      <c r="R7" s="63">
        <f t="shared" si="5"/>
        <v>271.10090190387524</v>
      </c>
      <c r="S7" s="63">
        <f t="shared" si="5"/>
        <v>311.69170858569345</v>
      </c>
      <c r="T7" s="63">
        <f t="shared" si="5"/>
        <v>358.36000735813155</v>
      </c>
      <c r="U7" s="63">
        <f t="shared" si="5"/>
        <v>412.0157557492841</v>
      </c>
      <c r="V7" s="64">
        <f>U7</f>
        <v>412.0157557492841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-0.36465720564441478</v>
      </c>
      <c r="E8" s="42">
        <f t="shared" si="6"/>
        <v>-0.233992748685244</v>
      </c>
      <c r="F8" s="42">
        <f t="shared" si="6"/>
        <v>-9.8312329574766003E-2</v>
      </c>
      <c r="G8" s="42">
        <f t="shared" si="6"/>
        <v>-8.6394031588559211E-2</v>
      </c>
      <c r="H8" s="42">
        <f t="shared" si="6"/>
        <v>-6.4251279969807673E-2</v>
      </c>
      <c r="I8" s="42">
        <f t="shared" si="6"/>
        <v>-2.537473648814682E-2</v>
      </c>
      <c r="J8" s="42">
        <f t="shared" si="6"/>
        <v>3.0400052723462748E-2</v>
      </c>
      <c r="K8" s="57">
        <f t="shared" si="6"/>
        <v>8.1807640098702478E-2</v>
      </c>
      <c r="L8" s="38">
        <f>AVERAGE(J8:K8)</f>
        <v>5.6103846411082611E-2</v>
      </c>
      <c r="M8" s="38">
        <f t="shared" ref="M8:U8" si="7">L8</f>
        <v>5.6103846411082611E-2</v>
      </c>
      <c r="N8" s="38">
        <f t="shared" si="7"/>
        <v>5.6103846411082611E-2</v>
      </c>
      <c r="O8" s="38">
        <f t="shared" si="7"/>
        <v>5.6103846411082611E-2</v>
      </c>
      <c r="P8" s="38">
        <f t="shared" si="7"/>
        <v>5.6103846411082611E-2</v>
      </c>
      <c r="Q8" s="38">
        <f t="shared" si="7"/>
        <v>5.6103846411082611E-2</v>
      </c>
      <c r="R8" s="38">
        <f t="shared" si="7"/>
        <v>5.6103846411082611E-2</v>
      </c>
      <c r="S8" s="38">
        <f t="shared" si="7"/>
        <v>5.6103846411082611E-2</v>
      </c>
      <c r="T8" s="38">
        <f t="shared" si="7"/>
        <v>5.6103846411082611E-2</v>
      </c>
      <c r="U8" s="38">
        <f t="shared" si="7"/>
        <v>5.6103846411082611E-2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48.968305000000001</v>
      </c>
      <c r="E10" s="17">
        <f>IFERROR(INDEX(Python!$1:$1048576,MATCH(DCF_Simple!E$1,Python!$A:$A,0),MATCH(DCF_Simple!$B10,Python!$1:$1,0))/1000000,0)</f>
        <v>51.185257999999997</v>
      </c>
      <c r="F10" s="17">
        <f>IFERROR(INDEX(Python!$1:$1048576,MATCH(DCF_Simple!F$1,Python!$A:$A,0),MATCH(DCF_Simple!$B10,Python!$1:$1,0))/1000000,0)</f>
        <v>55.647706999999997</v>
      </c>
      <c r="G10" s="17">
        <f>IFERROR(INDEX(Python!$1:$1048576,MATCH(DCF_Simple!G$1,Python!$A:$A,0),MATCH(DCF_Simple!$B10,Python!$1:$1,0))/1000000,0)</f>
        <v>58.393894000000003</v>
      </c>
      <c r="H10" s="17">
        <f>IFERROR(INDEX(Python!$1:$1048576,MATCH(DCF_Simple!H$1,Python!$A:$A,0),MATCH(DCF_Simple!$B10,Python!$1:$1,0))/1000000,0)</f>
        <v>63.426693999999998</v>
      </c>
      <c r="I10" s="17">
        <f>IFERROR(INDEX(Python!$1:$1048576,MATCH(DCF_Simple!I$1,Python!$A:$A,0),MATCH(DCF_Simple!$B10,Python!$1:$1,0))/1000000,0)</f>
        <v>68.334463999999997</v>
      </c>
      <c r="J10" s="17">
        <f>IFERROR(INDEX(Python!$1:$1048576,MATCH(DCF_Simple!J$1,Python!$A:$A,0),MATCH(DCF_Simple!$B10,Python!$1:$1,0))/1000000,0)</f>
        <v>70.874116999999998</v>
      </c>
      <c r="K10" s="68">
        <f>IFERROR(INDEX(Python!$1:$1048576,MATCH(DCF_Simple!K$1,Python!$A:$A,0),MATCH(DCF_Simple!$B10,Python!$1:$1,0))/1000000,0)</f>
        <v>73.543426999999994</v>
      </c>
      <c r="L10" s="17">
        <f t="shared" ref="L10:U10" si="8">K10*(1+L11)</f>
        <v>76.313270398900741</v>
      </c>
      <c r="M10" s="17">
        <f t="shared" si="8"/>
        <v>79.187433555084951</v>
      </c>
      <c r="N10" s="17">
        <f t="shared" si="8"/>
        <v>82.169845431382797</v>
      </c>
      <c r="O10" s="17">
        <f t="shared" si="8"/>
        <v>85.264582965939226</v>
      </c>
      <c r="P10" s="17">
        <f t="shared" si="8"/>
        <v>88.475876645362575</v>
      </c>
      <c r="Q10" s="17">
        <f t="shared" si="8"/>
        <v>91.808116287772961</v>
      </c>
      <c r="R10" s="17">
        <f t="shared" si="8"/>
        <v>95.265857043655885</v>
      </c>
      <c r="S10" s="17">
        <f t="shared" si="8"/>
        <v>98.853825622724045</v>
      </c>
      <c r="T10" s="17">
        <f t="shared" si="8"/>
        <v>102.57692675529961</v>
      </c>
      <c r="U10" s="17">
        <f t="shared" si="8"/>
        <v>106.44024989704948</v>
      </c>
      <c r="V10" s="69">
        <f>U10</f>
        <v>106.44024989704948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4.5273223159347564E-2</v>
      </c>
      <c r="F11" s="42">
        <f t="shared" si="9"/>
        <v>8.7182309406352854E-2</v>
      </c>
      <c r="G11" s="42">
        <f t="shared" si="9"/>
        <v>4.934950868685406E-2</v>
      </c>
      <c r="H11" s="42">
        <f t="shared" si="9"/>
        <v>8.6187093465628362E-2</v>
      </c>
      <c r="I11" s="42">
        <f t="shared" si="9"/>
        <v>7.7377042543002483E-2</v>
      </c>
      <c r="J11" s="42">
        <f t="shared" si="9"/>
        <v>3.7165038713115495E-2</v>
      </c>
      <c r="K11" s="57">
        <f t="shared" si="9"/>
        <v>3.7662691444889429E-2</v>
      </c>
      <c r="L11" s="66">
        <f t="shared" ref="L11:U11" si="10">K11</f>
        <v>3.7662691444889429E-2</v>
      </c>
      <c r="M11" s="66">
        <f t="shared" si="10"/>
        <v>3.7662691444889429E-2</v>
      </c>
      <c r="N11" s="66">
        <f t="shared" si="10"/>
        <v>3.7662691444889429E-2</v>
      </c>
      <c r="O11" s="66">
        <f t="shared" si="10"/>
        <v>3.7662691444889429E-2</v>
      </c>
      <c r="P11" s="66">
        <f t="shared" si="10"/>
        <v>3.7662691444889429E-2</v>
      </c>
      <c r="Q11" s="66">
        <f t="shared" si="10"/>
        <v>3.7662691444889429E-2</v>
      </c>
      <c r="R11" s="66">
        <f t="shared" si="10"/>
        <v>3.7662691444889429E-2</v>
      </c>
      <c r="S11" s="66">
        <f t="shared" si="10"/>
        <v>3.7662691444889429E-2</v>
      </c>
      <c r="T11" s="66">
        <f t="shared" si="10"/>
        <v>3.7662691444889429E-2</v>
      </c>
      <c r="U11" s="66">
        <f t="shared" si="10"/>
        <v>3.7662691444889429E-2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-0.92510859830659853</v>
      </c>
      <c r="E13" s="52">
        <f t="shared" si="11"/>
        <v>-0.87882725920811022</v>
      </c>
      <c r="F13" s="52">
        <f t="shared" si="11"/>
        <v>-0.59930591569568181</v>
      </c>
      <c r="G13" s="52">
        <f t="shared" si="11"/>
        <v>-0.74208101278534355</v>
      </c>
      <c r="H13" s="52">
        <f t="shared" si="11"/>
        <v>-0.71129357617157218</v>
      </c>
      <c r="I13" s="52">
        <f t="shared" si="11"/>
        <v>-0.40196408067238226</v>
      </c>
      <c r="J13" s="52">
        <f t="shared" si="11"/>
        <v>0.63782099747359111</v>
      </c>
      <c r="K13" s="58">
        <f t="shared" si="11"/>
        <v>2.0240829952077162</v>
      </c>
      <c r="L13" s="52">
        <f t="shared" ref="L13:U13" si="12">L7/L10</f>
        <v>1.5380312990998579</v>
      </c>
      <c r="M13" s="52">
        <f t="shared" si="12"/>
        <v>1.704132105326472</v>
      </c>
      <c r="N13" s="52">
        <f t="shared" si="12"/>
        <v>1.8881710886534337</v>
      </c>
      <c r="O13" s="52">
        <f t="shared" si="12"/>
        <v>2.0920854955336261</v>
      </c>
      <c r="P13" s="52">
        <f t="shared" si="12"/>
        <v>2.318021786756383</v>
      </c>
      <c r="Q13" s="52">
        <f t="shared" si="12"/>
        <v>2.5683582317015743</v>
      </c>
      <c r="R13" s="52">
        <f t="shared" si="12"/>
        <v>2.8457299426765497</v>
      </c>
      <c r="S13" s="52">
        <f t="shared" si="12"/>
        <v>3.1530566128544777</v>
      </c>
      <c r="T13" s="52">
        <f t="shared" si="12"/>
        <v>3.4935732497914498</v>
      </c>
      <c r="U13" s="52">
        <f t="shared" si="12"/>
        <v>3.8708642280320795</v>
      </c>
      <c r="V13" s="70">
        <f>U13*(1+WACC!$B$13)/(WACC!$B$14-WACC!$B$13)</f>
        <v>68.22837660527523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1.4269190889630445</v>
      </c>
      <c r="M14" s="61">
        <f>M13/((1+WACC!$B$14)^(M3-$K$3))</f>
        <v>1.466802384397746</v>
      </c>
      <c r="N14" s="61">
        <f>N13/((1+WACC!$B$14)^(N3-$K$3))</f>
        <v>1.5078004432882277</v>
      </c>
      <c r="O14" s="61">
        <f>O13/((1+WACC!$B$14)^(O3-$K$3))</f>
        <v>1.5499444239815825</v>
      </c>
      <c r="P14" s="61">
        <f>P13/((1+WACC!$B$14)^(P3-$K$3))</f>
        <v>1.5932663557205069</v>
      </c>
      <c r="Q14" s="61">
        <f>Q13/((1+WACC!$B$14)^(Q3-$K$3))</f>
        <v>1.6377991629853883</v>
      </c>
      <c r="R14" s="61">
        <f>R13/((1+WACC!$B$14)^(R3-$K$3))</f>
        <v>1.6835766905167646</v>
      </c>
      <c r="S14" s="61">
        <f>S13/((1+WACC!$B$14)^(S3-$K$3))</f>
        <v>1.7306337290371849</v>
      </c>
      <c r="T14" s="61">
        <f>T13/((1+WACC!$B$14)^(T3-$K$3))</f>
        <v>1.779006041692003</v>
      </c>
      <c r="U14" s="61">
        <f>U13/((1+WACC!$B$14)^(U3-$K$3))</f>
        <v>1.8287303912292168</v>
      </c>
      <c r="V14" s="62">
        <f>V13/((1+WACC!$B$14)^(U3-$K$3))</f>
        <v>32.233449300217949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32.233449300217949</v>
      </c>
      <c r="L17" s="16">
        <f>C17/$C$19</f>
        <v>0.6654588795006412</v>
      </c>
      <c r="O17" s="18"/>
    </row>
    <row r="18" spans="2:22" x14ac:dyDescent="0.25">
      <c r="B18" s="8" t="s">
        <v>26</v>
      </c>
      <c r="C18" s="32">
        <f>SUM(14:14)-V14</f>
        <v>16.204478711811667</v>
      </c>
      <c r="K18" s="3"/>
      <c r="L18" s="16">
        <f>C18/$C$19</f>
        <v>0.3345411204993588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48.437928012029616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30.795872484974083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15.568719689932319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63.665080807071377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0.14972582679275079</v>
      </c>
    </row>
    <row r="3" spans="1:6" x14ac:dyDescent="0.25">
      <c r="A3" s="72" t="s">
        <v>34</v>
      </c>
      <c r="B3">
        <v>1819610000</v>
      </c>
      <c r="C3">
        <v>148858000</v>
      </c>
      <c r="D3">
        <v>73543427</v>
      </c>
      <c r="E3">
        <v>2264834000</v>
      </c>
      <c r="F3">
        <v>9.7305674259245745E-2</v>
      </c>
    </row>
    <row r="4" spans="1:6" x14ac:dyDescent="0.25">
      <c r="A4" s="72" t="s">
        <v>35</v>
      </c>
      <c r="B4">
        <v>1765292000</v>
      </c>
      <c r="C4">
        <v>125370000</v>
      </c>
      <c r="D4">
        <v>72990141</v>
      </c>
      <c r="E4">
        <v>2073996000</v>
      </c>
      <c r="F4">
        <v>0.1986561719343978</v>
      </c>
    </row>
    <row r="5" spans="1:6" x14ac:dyDescent="0.25">
      <c r="A5" s="72" t="s">
        <v>36</v>
      </c>
      <c r="B5">
        <v>1683011000</v>
      </c>
      <c r="C5">
        <v>115403000</v>
      </c>
      <c r="D5">
        <v>72349350</v>
      </c>
      <c r="E5">
        <v>2015407000</v>
      </c>
      <c r="F5">
        <v>0.21000166615003099</v>
      </c>
    </row>
    <row r="6" spans="1:6" x14ac:dyDescent="0.25">
      <c r="A6" s="72" t="s">
        <v>37</v>
      </c>
      <c r="B6">
        <v>1586321000</v>
      </c>
      <c r="C6">
        <v>88674000</v>
      </c>
      <c r="D6">
        <v>71560023</v>
      </c>
      <c r="E6">
        <v>1924711000</v>
      </c>
      <c r="F6">
        <v>0.2099058512503709</v>
      </c>
    </row>
    <row r="7" spans="1:6" x14ac:dyDescent="0.25">
      <c r="A7" s="72" t="s">
        <v>38</v>
      </c>
      <c r="B7">
        <v>1487004000</v>
      </c>
      <c r="C7">
        <v>45205000</v>
      </c>
      <c r="D7">
        <v>70874117</v>
      </c>
      <c r="E7">
        <v>1901101000</v>
      </c>
      <c r="F7">
        <v>0.28502272278205898</v>
      </c>
    </row>
    <row r="8" spans="1:6" x14ac:dyDescent="0.25">
      <c r="A8" s="72" t="s">
        <v>39</v>
      </c>
      <c r="B8">
        <v>1366873000</v>
      </c>
      <c r="C8">
        <v>23857000</v>
      </c>
      <c r="D8">
        <v>70177499</v>
      </c>
      <c r="E8">
        <v>1903428000</v>
      </c>
      <c r="F8">
        <v>0.21616272022477021</v>
      </c>
    </row>
    <row r="9" spans="1:6" x14ac:dyDescent="0.25">
      <c r="A9" s="72" t="s">
        <v>40</v>
      </c>
      <c r="B9">
        <v>1284040000</v>
      </c>
      <c r="C9">
        <v>-20214000</v>
      </c>
      <c r="D9">
        <v>69525238</v>
      </c>
      <c r="E9">
        <v>1836630000</v>
      </c>
      <c r="F9">
        <v>0.26704541190420811</v>
      </c>
    </row>
    <row r="10" spans="1:6" x14ac:dyDescent="0.25">
      <c r="A10" s="72" t="s">
        <v>41</v>
      </c>
      <c r="B10">
        <v>1189222000</v>
      </c>
      <c r="C10">
        <v>-26619000</v>
      </c>
      <c r="D10">
        <v>68916813</v>
      </c>
      <c r="E10">
        <v>1787532000</v>
      </c>
    </row>
    <row r="11" spans="1:6" x14ac:dyDescent="0.25">
      <c r="A11" s="72" t="s">
        <v>42</v>
      </c>
      <c r="B11">
        <v>1082494000</v>
      </c>
      <c r="C11">
        <v>-27468000</v>
      </c>
      <c r="D11">
        <v>68334464</v>
      </c>
      <c r="E11">
        <v>1795612000</v>
      </c>
    </row>
    <row r="12" spans="1:6" x14ac:dyDescent="0.25">
      <c r="A12" s="72" t="s">
        <v>43</v>
      </c>
      <c r="B12">
        <v>977581000</v>
      </c>
      <c r="C12">
        <v>-1646000</v>
      </c>
      <c r="D12">
        <v>67706502</v>
      </c>
      <c r="E12">
        <v>1828695000</v>
      </c>
      <c r="F12">
        <v>4.971431559940104</v>
      </c>
    </row>
    <row r="13" spans="1:6" x14ac:dyDescent="0.25">
      <c r="A13" s="72" t="s">
        <v>44</v>
      </c>
      <c r="B13">
        <v>873782000</v>
      </c>
      <c r="C13">
        <v>-1092000</v>
      </c>
      <c r="D13">
        <v>66972991</v>
      </c>
      <c r="E13">
        <v>1825923000</v>
      </c>
      <c r="F13">
        <v>0.55375177632617745</v>
      </c>
    </row>
    <row r="14" spans="1:6" x14ac:dyDescent="0.25">
      <c r="A14" s="72" t="s">
        <v>45</v>
      </c>
      <c r="B14">
        <v>778287000</v>
      </c>
      <c r="C14">
        <v>-39323000</v>
      </c>
      <c r="D14">
        <v>66386379</v>
      </c>
      <c r="E14">
        <v>1802886000</v>
      </c>
      <c r="F14">
        <v>0.60349138760106391</v>
      </c>
    </row>
    <row r="15" spans="1:6" x14ac:dyDescent="0.25">
      <c r="A15" s="72" t="s">
        <v>46</v>
      </c>
      <c r="B15">
        <v>702165000</v>
      </c>
      <c r="C15">
        <v>-45115000</v>
      </c>
      <c r="D15">
        <v>63426694</v>
      </c>
      <c r="E15">
        <v>1814825000</v>
      </c>
      <c r="F15">
        <v>0.54158694976171717</v>
      </c>
    </row>
    <row r="16" spans="1:6" x14ac:dyDescent="0.25">
      <c r="A16" s="72" t="s">
        <v>47</v>
      </c>
      <c r="B16">
        <v>641699000</v>
      </c>
      <c r="C16">
        <v>-37473000</v>
      </c>
      <c r="D16">
        <v>61361670</v>
      </c>
      <c r="E16">
        <v>935043000</v>
      </c>
      <c r="F16">
        <v>0.3006314787959703</v>
      </c>
    </row>
    <row r="17" spans="1:6" x14ac:dyDescent="0.25">
      <c r="A17" s="72" t="s">
        <v>48</v>
      </c>
      <c r="B17">
        <v>590380000</v>
      </c>
      <c r="C17">
        <v>-54446000</v>
      </c>
      <c r="D17">
        <v>60497810</v>
      </c>
      <c r="E17">
        <v>957742000</v>
      </c>
      <c r="F17">
        <v>0.27077548310840899</v>
      </c>
    </row>
    <row r="18" spans="1:6" x14ac:dyDescent="0.25">
      <c r="A18" s="72" t="s">
        <v>49</v>
      </c>
      <c r="B18">
        <v>542904000</v>
      </c>
      <c r="C18">
        <v>-44802000</v>
      </c>
      <c r="D18">
        <v>59368167</v>
      </c>
      <c r="E18">
        <v>966301000</v>
      </c>
      <c r="F18">
        <v>0.78467829241326381</v>
      </c>
    </row>
    <row r="19" spans="1:6" x14ac:dyDescent="0.25">
      <c r="A19" s="72" t="s">
        <v>50</v>
      </c>
      <c r="B19">
        <v>501574000</v>
      </c>
      <c r="C19">
        <v>-43333000</v>
      </c>
      <c r="D19">
        <v>58393894</v>
      </c>
      <c r="E19">
        <v>974896000</v>
      </c>
      <c r="F19">
        <v>1.466936035745914</v>
      </c>
    </row>
    <row r="20" spans="1:6" x14ac:dyDescent="0.25">
      <c r="A20" s="72" t="s">
        <v>51</v>
      </c>
      <c r="B20">
        <v>462661000</v>
      </c>
      <c r="C20">
        <v>-43312000</v>
      </c>
      <c r="D20">
        <v>57649524</v>
      </c>
      <c r="E20">
        <v>977017000</v>
      </c>
      <c r="F20">
        <v>1.8038740323085869</v>
      </c>
    </row>
    <row r="21" spans="1:6" x14ac:dyDescent="0.25">
      <c r="A21" s="72" t="s">
        <v>52</v>
      </c>
      <c r="B21">
        <v>421720000</v>
      </c>
      <c r="C21">
        <v>-33104000</v>
      </c>
      <c r="D21">
        <v>56943622</v>
      </c>
      <c r="E21">
        <v>986518000</v>
      </c>
      <c r="F21">
        <v>0.61838191942351783</v>
      </c>
    </row>
    <row r="22" spans="1:6" x14ac:dyDescent="0.25">
      <c r="A22" s="72" t="s">
        <v>53</v>
      </c>
      <c r="B22">
        <v>383681000</v>
      </c>
      <c r="C22">
        <v>-35902000</v>
      </c>
      <c r="D22">
        <v>56411779</v>
      </c>
      <c r="E22">
        <v>425867000</v>
      </c>
      <c r="F22">
        <v>0.81364219435254292</v>
      </c>
    </row>
    <row r="23" spans="1:6" x14ac:dyDescent="0.25">
      <c r="A23" s="72" t="s">
        <v>54</v>
      </c>
      <c r="B23">
        <v>339225000</v>
      </c>
      <c r="C23">
        <v>-33350000</v>
      </c>
      <c r="D23">
        <v>55647707</v>
      </c>
      <c r="E23">
        <v>436053000</v>
      </c>
      <c r="F23">
        <v>0.86139662550008689</v>
      </c>
    </row>
    <row r="24" spans="1:6" x14ac:dyDescent="0.25">
      <c r="A24" s="72" t="s">
        <v>55</v>
      </c>
      <c r="B24">
        <v>297347000</v>
      </c>
      <c r="C24">
        <v>-37596000</v>
      </c>
      <c r="D24">
        <v>54710746</v>
      </c>
      <c r="E24">
        <v>476406000</v>
      </c>
      <c r="F24">
        <v>1.022192795819336</v>
      </c>
    </row>
    <row r="25" spans="1:6" x14ac:dyDescent="0.25">
      <c r="A25" s="72" t="s">
        <v>56</v>
      </c>
      <c r="B25">
        <v>256181000</v>
      </c>
      <c r="C25">
        <v>-48837000</v>
      </c>
      <c r="D25">
        <v>53825561</v>
      </c>
      <c r="E25">
        <v>465970000</v>
      </c>
      <c r="F25">
        <v>2.1254617570657839</v>
      </c>
    </row>
    <row r="26" spans="1:6" x14ac:dyDescent="0.25">
      <c r="A26" s="72" t="s">
        <v>57</v>
      </c>
      <c r="B26">
        <v>215738000</v>
      </c>
      <c r="C26">
        <v>-44340000</v>
      </c>
      <c r="D26">
        <v>52702526</v>
      </c>
      <c r="E26">
        <v>522171000</v>
      </c>
      <c r="F26">
        <v>1.3069160480138839</v>
      </c>
    </row>
    <row r="27" spans="1:6" x14ac:dyDescent="0.25">
      <c r="A27" s="72" t="s">
        <v>58</v>
      </c>
      <c r="B27">
        <v>192241000</v>
      </c>
      <c r="C27">
        <v>-44983000</v>
      </c>
      <c r="D27">
        <v>51185258</v>
      </c>
      <c r="E27">
        <v>522677000</v>
      </c>
      <c r="F27">
        <v>0.77243764044943819</v>
      </c>
    </row>
    <row r="28" spans="1:6" x14ac:dyDescent="0.25">
      <c r="A28" s="72" t="s">
        <v>59</v>
      </c>
      <c r="B28">
        <v>170351000</v>
      </c>
      <c r="C28">
        <v>-42999000</v>
      </c>
      <c r="D28">
        <v>50350052</v>
      </c>
      <c r="E28">
        <v>270988000</v>
      </c>
      <c r="F28">
        <v>0.48879283729546152</v>
      </c>
    </row>
    <row r="29" spans="1:6" x14ac:dyDescent="0.25">
      <c r="A29" s="72" t="s">
        <v>60</v>
      </c>
      <c r="B29">
        <v>154519000</v>
      </c>
      <c r="C29">
        <v>-47016000</v>
      </c>
      <c r="D29">
        <v>50287162</v>
      </c>
      <c r="E29">
        <v>278974000</v>
      </c>
      <c r="F29">
        <v>0.61752772766753528</v>
      </c>
    </row>
    <row r="30" spans="1:6" x14ac:dyDescent="0.25">
      <c r="A30" s="72" t="s">
        <v>61</v>
      </c>
      <c r="B30">
        <v>139412000</v>
      </c>
      <c r="C30">
        <v>-49230000</v>
      </c>
      <c r="D30">
        <v>17421642</v>
      </c>
      <c r="E30">
        <v>288555000</v>
      </c>
    </row>
    <row r="31" spans="1:6" x14ac:dyDescent="0.25">
      <c r="A31" s="72" t="s">
        <v>62</v>
      </c>
      <c r="B31">
        <v>124229000</v>
      </c>
      <c r="C31">
        <v>-45301000</v>
      </c>
      <c r="D31">
        <v>48968305</v>
      </c>
      <c r="E31">
        <v>92451000</v>
      </c>
    </row>
    <row r="32" spans="1:6" x14ac:dyDescent="0.25">
      <c r="A32" s="72" t="s">
        <v>63</v>
      </c>
      <c r="B32">
        <v>112239000</v>
      </c>
      <c r="C32">
        <v>-41813000</v>
      </c>
      <c r="D32">
        <v>40296208</v>
      </c>
      <c r="E32">
        <v>108769000</v>
      </c>
    </row>
    <row r="33" spans="1:5" x14ac:dyDescent="0.25">
      <c r="A33" s="72" t="s">
        <v>64</v>
      </c>
      <c r="B33">
        <v>101358000</v>
      </c>
      <c r="C33">
        <v>-39761000</v>
      </c>
      <c r="D33">
        <v>40296208</v>
      </c>
      <c r="E33">
        <v>116500000</v>
      </c>
    </row>
    <row r="34" spans="1:5" x14ac:dyDescent="0.25">
      <c r="A34" s="72" t="s">
        <v>65</v>
      </c>
      <c r="D34">
        <v>40296208</v>
      </c>
    </row>
    <row r="35" spans="1:5" x14ac:dyDescent="0.25">
      <c r="A35" s="72" t="s">
        <v>66</v>
      </c>
      <c r="D35">
        <v>11763244</v>
      </c>
    </row>
    <row r="36" spans="1:5" x14ac:dyDescent="0.25">
      <c r="A36" s="72" t="s">
        <v>67</v>
      </c>
      <c r="D36">
        <v>11596586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68</v>
      </c>
      <c r="B1" s="27" t="s">
        <v>69</v>
      </c>
      <c r="C1" t="s">
        <v>70</v>
      </c>
      <c r="D1" t="s">
        <v>71</v>
      </c>
      <c r="F1" s="27" t="s">
        <v>69</v>
      </c>
      <c r="G1" t="s">
        <v>70</v>
      </c>
      <c r="H1" t="s">
        <v>71</v>
      </c>
      <c r="J1" t="s">
        <v>72</v>
      </c>
      <c r="K1" t="s">
        <v>70</v>
      </c>
      <c r="L1" t="s">
        <v>71</v>
      </c>
      <c r="N1" t="s">
        <v>73</v>
      </c>
      <c r="O1" t="s">
        <v>70</v>
      </c>
      <c r="P1" t="s">
        <v>71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34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36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37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74</v>
      </c>
    </row>
    <row r="7" spans="1:46" x14ac:dyDescent="0.25">
      <c r="A7" s="27" t="s">
        <v>38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75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40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76</v>
      </c>
    </row>
    <row r="10" spans="1:46" x14ac:dyDescent="0.25">
      <c r="A10" s="27" t="s">
        <v>41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77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44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79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80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81</v>
      </c>
      <c r="C1" s="72" t="s">
        <v>82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83</v>
      </c>
      <c r="D2">
        <v>1.2145368623014621</v>
      </c>
      <c r="E2">
        <v>0.1248609685498295</v>
      </c>
    </row>
    <row r="3" spans="1:5" x14ac:dyDescent="0.25">
      <c r="A3" s="72">
        <v>1</v>
      </c>
      <c r="B3">
        <v>3</v>
      </c>
      <c r="C3" t="s">
        <v>84</v>
      </c>
      <c r="D3">
        <v>2.162587418889677</v>
      </c>
      <c r="E3">
        <v>0.1905324310386782</v>
      </c>
    </row>
    <row r="4" spans="1:5" x14ac:dyDescent="0.25">
      <c r="A4" s="72">
        <v>2</v>
      </c>
      <c r="B4">
        <v>3</v>
      </c>
      <c r="C4" t="s">
        <v>85</v>
      </c>
      <c r="D4">
        <v>2.289555347615424</v>
      </c>
      <c r="E4">
        <v>0.199327499519632</v>
      </c>
    </row>
    <row r="5" spans="1:5" x14ac:dyDescent="0.25">
      <c r="A5" s="72">
        <v>3</v>
      </c>
      <c r="B5">
        <v>5</v>
      </c>
      <c r="C5" t="s">
        <v>83</v>
      </c>
      <c r="D5">
        <v>1.152480047906695</v>
      </c>
      <c r="E5">
        <v>0.1205622929882966</v>
      </c>
    </row>
    <row r="6" spans="1:5" x14ac:dyDescent="0.25">
      <c r="A6" s="72">
        <v>4</v>
      </c>
      <c r="B6">
        <v>5</v>
      </c>
      <c r="C6" t="s">
        <v>84</v>
      </c>
      <c r="D6">
        <v>1.379395919325674</v>
      </c>
      <c r="E6">
        <v>0.13628075550536309</v>
      </c>
    </row>
    <row r="7" spans="1:5" x14ac:dyDescent="0.25">
      <c r="A7" s="72">
        <v>5</v>
      </c>
      <c r="B7">
        <v>5</v>
      </c>
      <c r="C7" t="s">
        <v>85</v>
      </c>
      <c r="D7">
        <v>1.503914515303806</v>
      </c>
      <c r="E7">
        <v>0.1449061587057684</v>
      </c>
    </row>
    <row r="8" spans="1:5" x14ac:dyDescent="0.25">
      <c r="A8" s="72">
        <v>6</v>
      </c>
      <c r="B8" t="s">
        <v>79</v>
      </c>
      <c r="D8">
        <v>1.6170783518904559</v>
      </c>
      <c r="E8">
        <v>0.15274501771792801</v>
      </c>
    </row>
    <row r="9" spans="1:5" x14ac:dyDescent="0.25">
      <c r="A9" s="72">
        <v>7</v>
      </c>
      <c r="B9" t="s">
        <v>80</v>
      </c>
      <c r="D9">
        <v>1.4416552173147399</v>
      </c>
      <c r="E9">
        <v>0.14059345710556581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2024-10-18T21:21:29Z</dcterms:modified>
</cp:coreProperties>
</file>