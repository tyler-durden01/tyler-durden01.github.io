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1" documentId="11_8F277026755086898330420FEC764BDC62E06589" xr6:coauthVersionLast="47" xr6:coauthVersionMax="47" xr10:uidLastSave="{32549913-2A4D-4011-961C-EC2D65C12E5D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3" l="1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C32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1" i="5" s="1"/>
  <c r="H4" i="5"/>
  <c r="G4" i="5"/>
  <c r="D4" i="5"/>
  <c r="C4" i="5"/>
  <c r="R3" i="5"/>
  <c r="P3" i="5"/>
  <c r="O3" i="5"/>
  <c r="O32" i="5" s="1"/>
  <c r="L3" i="5"/>
  <c r="K3" i="5"/>
  <c r="H3" i="5"/>
  <c r="G3" i="5"/>
  <c r="D3" i="5"/>
  <c r="C3" i="5"/>
  <c r="R2" i="5"/>
  <c r="H2" i="5"/>
  <c r="G2" i="5"/>
  <c r="G32" i="5" s="1"/>
  <c r="D2" i="5"/>
  <c r="C2" i="5"/>
  <c r="C31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D10" i="3"/>
  <c r="L5" i="3"/>
  <c r="K4" i="3"/>
  <c r="L4" i="3" s="1"/>
  <c r="F4" i="3"/>
  <c r="F5" i="3" s="1"/>
  <c r="E4" i="3"/>
  <c r="K3" i="3"/>
  <c r="H3" i="3"/>
  <c r="G3" i="3"/>
  <c r="K1" i="3"/>
  <c r="K10" i="3" s="1"/>
  <c r="J1" i="3"/>
  <c r="J7" i="3" s="1"/>
  <c r="I1" i="3"/>
  <c r="I10" i="3" s="1"/>
  <c r="I11" i="3" s="1"/>
  <c r="H1" i="3"/>
  <c r="H7" i="3" s="1"/>
  <c r="G1" i="3"/>
  <c r="G7" i="3" s="1"/>
  <c r="F1" i="3"/>
  <c r="F3" i="3" s="1"/>
  <c r="E1" i="3"/>
  <c r="E10" i="3" s="1"/>
  <c r="E11" i="3" s="1"/>
  <c r="D1" i="3"/>
  <c r="D4" i="3" s="1"/>
  <c r="M4" i="3" l="1"/>
  <c r="N5" i="3"/>
  <c r="O5" i="3" s="1"/>
  <c r="P5" i="3" s="1"/>
  <c r="Q5" i="3" s="1"/>
  <c r="R5" i="3" s="1"/>
  <c r="S5" i="3" s="1"/>
  <c r="T5" i="3" s="1"/>
  <c r="U5" i="3" s="1"/>
  <c r="E5" i="3"/>
  <c r="H13" i="3"/>
  <c r="J8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C20" i="3"/>
  <c r="C21" i="3"/>
  <c r="I7" i="3"/>
  <c r="I3" i="3"/>
  <c r="G4" i="3"/>
  <c r="G5" i="3" s="1"/>
  <c r="K7" i="3"/>
  <c r="F10" i="3"/>
  <c r="F11" i="3" s="1"/>
  <c r="L1" i="3"/>
  <c r="J3" i="3"/>
  <c r="H4" i="3"/>
  <c r="D7" i="3"/>
  <c r="G10" i="3"/>
  <c r="G11" i="3" s="1"/>
  <c r="G31" i="5"/>
  <c r="I4" i="3"/>
  <c r="I5" i="3" s="1"/>
  <c r="E7" i="3"/>
  <c r="D3" i="3"/>
  <c r="J4" i="3"/>
  <c r="F7" i="3"/>
  <c r="O31" i="5"/>
  <c r="E3" i="3"/>
  <c r="J10" i="3"/>
  <c r="J11" i="3" s="1"/>
  <c r="N4" i="3" l="1"/>
  <c r="O4" i="3" s="1"/>
  <c r="P4" i="3" s="1"/>
  <c r="Q4" i="3" s="1"/>
  <c r="R4" i="3" s="1"/>
  <c r="S4" i="3" s="1"/>
  <c r="T4" i="3" s="1"/>
  <c r="U4" i="3" s="1"/>
  <c r="V4" i="3" s="1"/>
  <c r="I13" i="3"/>
  <c r="I8" i="3"/>
  <c r="F13" i="3"/>
  <c r="F8" i="3"/>
  <c r="H5" i="3"/>
  <c r="H8" i="3"/>
  <c r="D8" i="3"/>
  <c r="L8" i="3" s="1"/>
  <c r="D13" i="3"/>
  <c r="J5" i="3"/>
  <c r="K5" i="3"/>
  <c r="H11" i="3"/>
  <c r="L3" i="3"/>
  <c r="M1" i="3"/>
  <c r="E8" i="3"/>
  <c r="E13" i="3"/>
  <c r="K11" i="3"/>
  <c r="L11" i="3" s="1"/>
  <c r="G13" i="3"/>
  <c r="J13" i="3"/>
  <c r="K8" i="3"/>
  <c r="K13" i="3"/>
  <c r="G8" i="3"/>
  <c r="M11" i="3" l="1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3" i="3"/>
  <c r="N1" i="3"/>
  <c r="M8" i="3"/>
  <c r="L7" i="3"/>
  <c r="L13" i="3" s="1"/>
  <c r="L14" i="3" s="1"/>
  <c r="N3" i="3" l="1"/>
  <c r="O1" i="3"/>
  <c r="M7" i="3"/>
  <c r="M13" i="3" s="1"/>
  <c r="M14" i="3" s="1"/>
  <c r="N8" i="3"/>
  <c r="O8" i="3" l="1"/>
  <c r="N7" i="3"/>
  <c r="N13" i="3" s="1"/>
  <c r="N14" i="3" s="1"/>
  <c r="P1" i="3"/>
  <c r="O3" i="3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R3" i="3" l="1"/>
  <c r="S1" i="3"/>
  <c r="R8" i="3"/>
  <c r="Q7" i="3"/>
  <c r="Q13" i="3" s="1"/>
  <c r="Q14" i="3" s="1"/>
  <c r="R7" i="3" l="1"/>
  <c r="R13" i="3" s="1"/>
  <c r="R14" i="3" s="1"/>
  <c r="S8" i="3"/>
  <c r="S3" i="3"/>
  <c r="T1" i="3"/>
  <c r="U1" i="3" l="1"/>
  <c r="U3" i="3" s="1"/>
  <c r="T3" i="3"/>
  <c r="T8" i="3"/>
  <c r="S7" i="3"/>
  <c r="S13" i="3" s="1"/>
  <c r="S14" i="3" s="1"/>
  <c r="U8" i="3" l="1"/>
  <c r="U7" i="3" s="1"/>
  <c r="T7" i="3"/>
  <c r="T13" i="3" s="1"/>
  <c r="T14" i="3" s="1"/>
  <c r="U13" i="3" l="1"/>
  <c r="V7" i="3"/>
  <c r="V13" i="3" l="1"/>
  <c r="V14" i="3" s="1"/>
  <c r="U14" i="3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<sst xmlns="http://schemas.openxmlformats.org/spreadsheetml/2006/main" count="127" uniqueCount="82">
  <si>
    <t>This sheet contains FactSet XML data for use with this workbook's =FDS codes.  Modifying the worksheet's contents may damage the workbook's =FDS functionality.</t>
  </si>
  <si>
    <t>DOCU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</si>
  <si>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</si>
  <si>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</si>
  <si>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</si>
  <si>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</si>
  <si>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</si>
  <si>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</si>
  <si>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</si>
  <si>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</si>
  <si>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</si>
  <si>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</si>
  <si>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</si>
  <si>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</si>
  <si>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</si>
  <si>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</si>
  <si>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</si>
  <si>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</si>
  <si>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</si>
  <si>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</si>
  <si>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</si>
  <si>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</si>
  <si>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</si>
  <si>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</si>
  <si>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</si>
  <si>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</si>
  <si>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</si>
  <si>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</si>
  <si>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</si>
  <si>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</si>
  <si>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</si>
  <si>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</si>
  <si>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</si>
  <si>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</si>
  <si>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</si>
  <si>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</si>
  <si>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</si>
  <si>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</si>
  <si>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</si>
  <si>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</si>
  <si>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</si>
  <si>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</si>
  <si>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</si>
  <si>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</si>
  <si>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</si>
  <si>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</si>
  <si>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</si>
  <si>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</si>
  <si>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</si>
  <si>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</si>
  <si>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</si>
  <si>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</si>
  <si>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</si>
  <si>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</si>
  <si>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</si>
  <si>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</si>
  <si>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</si>
  <si>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</si>
  <si>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</si>
  <si>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</si>
  <si>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</si>
  <si>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</si>
  <si>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</si>
  <si>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</si>
  <si>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date</t>
  </si>
  <si>
    <t>revenue</t>
  </si>
  <si>
    <t>Deriv1</t>
  </si>
  <si>
    <t>Static1</t>
  </si>
  <si>
    <t>grossProfit_margin</t>
  </si>
  <si>
    <t>FCF_margin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</si>
  <si>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</si>
  <si>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</si>
  <si>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</si>
  <si>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</si>
  <si>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add more to show the return, and also the market cap valuations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</si>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</sst>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1792535000</v>
      </c>
    </row>
    <row r="3" spans="1:2" x14ac:dyDescent="0.25">
      <c r="A3" s="72" t="s">
        <v>3</v>
      </c>
      <c r="B3">
        <v>115832000</v>
      </c>
    </row>
    <row r="4" spans="1:2" x14ac:dyDescent="0.25">
      <c r="A4" s="72" t="s">
        <v>4</v>
      </c>
      <c r="B4">
        <v>5.5762507714570982E-2</v>
      </c>
    </row>
    <row r="5" spans="1:2" x14ac:dyDescent="0.25">
      <c r="A5" s="72" t="s">
        <v>5</v>
      </c>
      <c r="B5">
        <v>3.4308308584847021E-2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1961406000</v>
      </c>
    </row>
    <row r="8" spans="1:2" x14ac:dyDescent="0.25">
      <c r="A8" s="72" t="s">
        <v>8</v>
      </c>
      <c r="B8">
        <v>0.94423749228542897</v>
      </c>
    </row>
    <row r="9" spans="1:2" x14ac:dyDescent="0.25">
      <c r="A9" s="72" t="s">
        <v>9</v>
      </c>
      <c r="B9">
        <v>0.13056141199018151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1.296829967580533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0.1247923429313415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8" sqref="L8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2017-07-31</v>
      </c>
      <c r="E1" s="65" t="str">
        <f>Python!A27</f>
        <v>2018-07-31</v>
      </c>
      <c r="F1" s="65" t="str">
        <f>Python!A23</f>
        <v>2019-07-31</v>
      </c>
      <c r="G1" s="65" t="str">
        <f>Python!A19</f>
        <v>2020-07-31</v>
      </c>
      <c r="H1" s="65" t="str">
        <f>Python!A15</f>
        <v>2021-07-31</v>
      </c>
      <c r="I1" s="65" t="str">
        <f>Python!A11</f>
        <v>2022-07-31</v>
      </c>
      <c r="J1" s="65" t="str">
        <f>Python!A7</f>
        <v>2023-07-31</v>
      </c>
      <c r="K1" s="65" t="str">
        <f>Python!A3</f>
        <v>2024-07-31</v>
      </c>
      <c r="L1" s="28">
        <f t="shared" ref="L1:U1" si="0">EDATE(K1, 12)</f>
        <v>45869</v>
      </c>
      <c r="M1" s="28">
        <f t="shared" si="0"/>
        <v>46234</v>
      </c>
      <c r="N1" s="28">
        <f t="shared" si="0"/>
        <v>46599</v>
      </c>
      <c r="O1" s="28">
        <f t="shared" si="0"/>
        <v>46965</v>
      </c>
      <c r="P1" s="28">
        <f t="shared" si="0"/>
        <v>47330</v>
      </c>
      <c r="Q1" s="28">
        <f t="shared" si="0"/>
        <v>47695</v>
      </c>
      <c r="R1" s="28">
        <f t="shared" si="0"/>
        <v>48060</v>
      </c>
      <c r="S1" s="28">
        <f t="shared" si="0"/>
        <v>48426</v>
      </c>
      <c r="T1" s="28">
        <f t="shared" si="0"/>
        <v>48791</v>
      </c>
      <c r="U1" s="28">
        <f t="shared" si="0"/>
        <v>49156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602.31500000000005</v>
      </c>
      <c r="F4" s="36">
        <f>IFERROR(INDEX(Python!$1:$1048576,MATCH(DCF_Simple!F$1,Python!$A:$A,0),MATCH(DCF_Simple!$B4,Python!$1:$1,0))/1000000,0)</f>
        <v>827.69100000000003</v>
      </c>
      <c r="G4" s="36">
        <f>IFERROR(INDEX(Python!$1:$1048576,MATCH(DCF_Simple!G$1,Python!$A:$A,0),MATCH(DCF_Simple!$B4,Python!$1:$1,0))/1000000,0)</f>
        <v>1163.623</v>
      </c>
      <c r="H4" s="36">
        <f>IFERROR(INDEX(Python!$1:$1048576,MATCH(DCF_Simple!H$1,Python!$A:$A,0),MATCH(DCF_Simple!$B4,Python!$1:$1,0))/1000000,0)</f>
        <v>1794.7429999999999</v>
      </c>
      <c r="I4" s="36">
        <f>IFERROR(INDEX(Python!$1:$1048576,MATCH(DCF_Simple!I$1,Python!$A:$A,0),MATCH(DCF_Simple!$B4,Python!$1:$1,0))/1000000,0)</f>
        <v>2337.1669999999999</v>
      </c>
      <c r="J4" s="36">
        <f>IFERROR(INDEX(Python!$1:$1048576,MATCH(DCF_Simple!J$1,Python!$A:$A,0),MATCH(DCF_Simple!$B4,Python!$1:$1,0))/1000000,0)</f>
        <v>2654.114</v>
      </c>
      <c r="K4" s="54">
        <f>IFERROR(INDEX(Python!$1:$1048576,MATCH(DCF_Simple!K$1,Python!$A:$A,0),MATCH(DCF_Simple!$B4,Python!$1:$1,0))/1000000,0)</f>
        <v>2858.4740000000002</v>
      </c>
      <c r="L4" s="37">
        <f t="shared" ref="L4:U4" si="2">K4*(1+L5)</f>
        <v>3041.5879698923932</v>
      </c>
      <c r="M4" s="36">
        <f t="shared" si="2"/>
        <v>3236.432228732579</v>
      </c>
      <c r="N4" s="36">
        <f t="shared" si="2"/>
        <v>3443.7582193453704</v>
      </c>
      <c r="O4" s="36">
        <f t="shared" si="2"/>
        <v>3664.3655220159176</v>
      </c>
      <c r="P4" s="36">
        <f t="shared" si="2"/>
        <v>3899.1049381775292</v>
      </c>
      <c r="Q4" s="36">
        <f t="shared" si="2"/>
        <v>4148.8817716406711</v>
      </c>
      <c r="R4" s="36">
        <f t="shared" si="2"/>
        <v>4414.6593200176403</v>
      </c>
      <c r="S4" s="36">
        <f t="shared" si="2"/>
        <v>4697.462589808054</v>
      </c>
      <c r="T4" s="36">
        <f t="shared" si="2"/>
        <v>4998.3822494728802</v>
      </c>
      <c r="U4" s="36">
        <f t="shared" si="2"/>
        <v>5318.5788357425645</v>
      </c>
      <c r="V4" s="19">
        <f>U4</f>
        <v>5318.5788357425645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>
        <f t="shared" si="3"/>
        <v>0.37418294414052444</v>
      </c>
      <c r="G5" s="42">
        <f t="shared" si="3"/>
        <v>0.40586644049530562</v>
      </c>
      <c r="H5" s="42">
        <f t="shared" si="3"/>
        <v>0.54237497883764751</v>
      </c>
      <c r="I5" s="42">
        <f t="shared" si="3"/>
        <v>0.30222934425708869</v>
      </c>
      <c r="J5" s="42">
        <f t="shared" si="3"/>
        <v>0.13561161868193428</v>
      </c>
      <c r="K5" s="57">
        <f t="shared" si="3"/>
        <v>7.6997446228760369E-2</v>
      </c>
      <c r="L5" s="38">
        <f>Python!F2</f>
        <v>6.4060043887890217E-2</v>
      </c>
      <c r="M5" s="38">
        <f>L5</f>
        <v>6.4060043887890217E-2</v>
      </c>
      <c r="N5" s="38">
        <f t="shared" ref="N5:U5" si="4">M5</f>
        <v>6.4060043887890217E-2</v>
      </c>
      <c r="O5" s="38">
        <f t="shared" si="4"/>
        <v>6.4060043887890217E-2</v>
      </c>
      <c r="P5" s="38">
        <f t="shared" si="4"/>
        <v>6.4060043887890217E-2</v>
      </c>
      <c r="Q5" s="38">
        <f t="shared" si="4"/>
        <v>6.4060043887890217E-2</v>
      </c>
      <c r="R5" s="38">
        <f t="shared" si="4"/>
        <v>6.4060043887890217E-2</v>
      </c>
      <c r="S5" s="38">
        <f t="shared" si="4"/>
        <v>6.4060043887890217E-2</v>
      </c>
      <c r="T5" s="38">
        <f t="shared" si="4"/>
        <v>6.4060043887890217E-2</v>
      </c>
      <c r="U5" s="38">
        <f t="shared" si="4"/>
        <v>6.4060043887890217E-2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0</v>
      </c>
      <c r="E7" s="51">
        <f>IFERROR(INDEX(Python!$1:$1048576,MATCH(DCF_Simple!E$1,Python!$A:$A,0),MATCH(DCF_Simple!$B7,Python!$1:$1,0))/1000000,0)</f>
        <v>62.905000000000001</v>
      </c>
      <c r="F7" s="51">
        <f>IFERROR(INDEX(Python!$1:$1048576,MATCH(DCF_Simple!F$1,Python!$A:$A,0),MATCH(DCF_Simple!$B7,Python!$1:$1,0))/1000000,0)</f>
        <v>60.774000000000001</v>
      </c>
      <c r="G7" s="51">
        <f>IFERROR(INDEX(Python!$1:$1048576,MATCH(DCF_Simple!G$1,Python!$A:$A,0),MATCH(DCF_Simple!$B7,Python!$1:$1,0))/1000000,0)</f>
        <v>133.90799999999999</v>
      </c>
      <c r="H7" s="51">
        <f>IFERROR(INDEX(Python!$1:$1048576,MATCH(DCF_Simple!H$1,Python!$A:$A,0),MATCH(DCF_Simple!$B7,Python!$1:$1,0))/1000000,0)</f>
        <v>366.76400000000001</v>
      </c>
      <c r="I7" s="51">
        <f>IFERROR(INDEX(Python!$1:$1048576,MATCH(DCF_Simple!I$1,Python!$A:$A,0),MATCH(DCF_Simple!$B7,Python!$1:$1,0))/1000000,0)</f>
        <v>440.39400000000001</v>
      </c>
      <c r="J7" s="51">
        <f>IFERROR(INDEX(Python!$1:$1048576,MATCH(DCF_Simple!J$1,Python!$A:$A,0),MATCH(DCF_Simple!$B7,Python!$1:$1,0))/1000000,0)</f>
        <v>547.26800000000003</v>
      </c>
      <c r="K7" s="56">
        <f>IFERROR(INDEX(Python!$1:$1048576,MATCH(DCF_Simple!K$1,Python!$A:$A,0),MATCH(DCF_Simple!$B7,Python!$1:$1,0))/1000000,0)</f>
        <v>944.2</v>
      </c>
      <c r="L7" s="63">
        <f t="shared" ref="L7:U7" si="5">L8*L4</f>
        <v>531.0789407741056</v>
      </c>
      <c r="M7" s="63">
        <f t="shared" si="5"/>
        <v>565.09988102802913</v>
      </c>
      <c r="N7" s="63">
        <f t="shared" si="5"/>
        <v>601.30020420772621</v>
      </c>
      <c r="O7" s="63">
        <f t="shared" si="5"/>
        <v>639.81952167907048</v>
      </c>
      <c r="P7" s="63">
        <f t="shared" si="5"/>
        <v>680.80638831816077</v>
      </c>
      <c r="Q7" s="63">
        <f t="shared" si="5"/>
        <v>724.4188754329781</v>
      </c>
      <c r="R7" s="63">
        <f t="shared" si="5"/>
        <v>770.82518038643082</v>
      </c>
      <c r="S7" s="63">
        <f t="shared" si="5"/>
        <v>820.20427527187644</v>
      </c>
      <c r="T7" s="63">
        <f t="shared" si="5"/>
        <v>872.74659714282802</v>
      </c>
      <c r="U7" s="63">
        <f t="shared" si="5"/>
        <v>928.65478245880445</v>
      </c>
      <c r="V7" s="64">
        <f>U7</f>
        <v>928.65478245880445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>
        <f t="shared" si="6"/>
        <v>0.10443870732092012</v>
      </c>
      <c r="F8" s="42">
        <f t="shared" si="6"/>
        <v>7.3425952438772438E-2</v>
      </c>
      <c r="G8" s="42">
        <f t="shared" si="6"/>
        <v>0.11507850910475298</v>
      </c>
      <c r="H8" s="42">
        <f t="shared" si="6"/>
        <v>0.20435460675985365</v>
      </c>
      <c r="I8" s="42">
        <f t="shared" si="6"/>
        <v>0.18843069408390586</v>
      </c>
      <c r="J8" s="42">
        <f t="shared" si="6"/>
        <v>0.2061961166701958</v>
      </c>
      <c r="K8" s="57">
        <f t="shared" si="6"/>
        <v>0.33031610572634207</v>
      </c>
      <c r="L8" s="38">
        <f>AVERAGE(D8:K8)</f>
        <v>0.17460581315782045</v>
      </c>
      <c r="M8" s="38">
        <f t="shared" ref="M8:U8" si="7">L8</f>
        <v>0.17460581315782045</v>
      </c>
      <c r="N8" s="38">
        <f t="shared" si="7"/>
        <v>0.17460581315782045</v>
      </c>
      <c r="O8" s="38">
        <f t="shared" si="7"/>
        <v>0.17460581315782045</v>
      </c>
      <c r="P8" s="38">
        <f t="shared" si="7"/>
        <v>0.17460581315782045</v>
      </c>
      <c r="Q8" s="38">
        <f t="shared" si="7"/>
        <v>0.17460581315782045</v>
      </c>
      <c r="R8" s="38">
        <f t="shared" si="7"/>
        <v>0.17460581315782045</v>
      </c>
      <c r="S8" s="38">
        <f t="shared" si="7"/>
        <v>0.17460581315782045</v>
      </c>
      <c r="T8" s="38">
        <f t="shared" si="7"/>
        <v>0.17460581315782045</v>
      </c>
      <c r="U8" s="38">
        <f t="shared" si="7"/>
        <v>0.17460581315782045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31.638339999999999</v>
      </c>
      <c r="E10" s="17">
        <f>IFERROR(INDEX(Python!$1:$1048576,MATCH(DCF_Simple!E$1,Python!$A:$A,0),MATCH(DCF_Simple!$B10,Python!$1:$1,0))/1000000,0)</f>
        <v>166.083686</v>
      </c>
      <c r="F10" s="17">
        <f>IFERROR(INDEX(Python!$1:$1048576,MATCH(DCF_Simple!F$1,Python!$A:$A,0),MATCH(DCF_Simple!$B10,Python!$1:$1,0))/1000000,0)</f>
        <v>175.38900000000001</v>
      </c>
      <c r="G10" s="17">
        <f>IFERROR(INDEX(Python!$1:$1048576,MATCH(DCF_Simple!G$1,Python!$A:$A,0),MATCH(DCF_Simple!$B10,Python!$1:$1,0))/1000000,0)</f>
        <v>184.86199999999999</v>
      </c>
      <c r="H10" s="17">
        <f>IFERROR(INDEX(Python!$1:$1048576,MATCH(DCF_Simple!H$1,Python!$A:$A,0),MATCH(DCF_Simple!$B10,Python!$1:$1,0))/1000000,0)</f>
        <v>195.99600000000001</v>
      </c>
      <c r="I10" s="17">
        <f>IFERROR(INDEX(Python!$1:$1048576,MATCH(DCF_Simple!I$1,Python!$A:$A,0),MATCH(DCF_Simple!$B10,Python!$1:$1,0))/1000000,0)</f>
        <v>200.61799999999999</v>
      </c>
      <c r="J10" s="17">
        <f>IFERROR(INDEX(Python!$1:$1048576,MATCH(DCF_Simple!J$1,Python!$A:$A,0),MATCH(DCF_Simple!$B10,Python!$1:$1,0))/1000000,0)</f>
        <v>208.19200000000001</v>
      </c>
      <c r="K10" s="68">
        <f>IFERROR(INDEX(Python!$1:$1048576,MATCH(DCF_Simple!K$1,Python!$A:$A,0),MATCH(DCF_Simple!$B10,Python!$1:$1,0))/1000000,0)</f>
        <v>208.274</v>
      </c>
      <c r="L10" s="17">
        <f t="shared" ref="L10:U10" si="8">K10*(1+L11)</f>
        <v>208.35603229711035</v>
      </c>
      <c r="M10" s="17">
        <f t="shared" si="8"/>
        <v>208.43809690405183</v>
      </c>
      <c r="N10" s="17">
        <f t="shared" si="8"/>
        <v>208.52019383355022</v>
      </c>
      <c r="O10" s="17">
        <f t="shared" si="8"/>
        <v>208.60232309833631</v>
      </c>
      <c r="P10" s="17">
        <f t="shared" si="8"/>
        <v>208.68448471114593</v>
      </c>
      <c r="Q10" s="17">
        <f t="shared" si="8"/>
        <v>208.76667868471989</v>
      </c>
      <c r="R10" s="17">
        <f t="shared" si="8"/>
        <v>208.84890503180404</v>
      </c>
      <c r="S10" s="17">
        <f t="shared" si="8"/>
        <v>208.93116376514925</v>
      </c>
      <c r="T10" s="17">
        <f t="shared" si="8"/>
        <v>209.01345489751139</v>
      </c>
      <c r="U10" s="17">
        <f t="shared" si="8"/>
        <v>209.09577844165139</v>
      </c>
      <c r="V10" s="69">
        <f>U10</f>
        <v>209.09577844165139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4.2494437445200983</v>
      </c>
      <c r="F11" s="42">
        <f t="shared" si="9"/>
        <v>5.6027862965420949E-2</v>
      </c>
      <c r="G11" s="42">
        <f t="shared" si="9"/>
        <v>5.4011369014020261E-2</v>
      </c>
      <c r="H11" s="42">
        <f t="shared" si="9"/>
        <v>6.0228711146693259E-2</v>
      </c>
      <c r="I11" s="42">
        <f t="shared" si="9"/>
        <v>2.3582113920692205E-2</v>
      </c>
      <c r="J11" s="42">
        <f t="shared" si="9"/>
        <v>3.7753342172686555E-2</v>
      </c>
      <c r="K11" s="57">
        <f t="shared" si="9"/>
        <v>3.9386719950806892E-4</v>
      </c>
      <c r="L11" s="66">
        <f t="shared" ref="L11:U11" si="10">K11</f>
        <v>3.9386719950806892E-4</v>
      </c>
      <c r="M11" s="66">
        <f t="shared" si="10"/>
        <v>3.9386719950806892E-4</v>
      </c>
      <c r="N11" s="66">
        <f t="shared" si="10"/>
        <v>3.9386719950806892E-4</v>
      </c>
      <c r="O11" s="66">
        <f t="shared" si="10"/>
        <v>3.9386719950806892E-4</v>
      </c>
      <c r="P11" s="66">
        <f t="shared" si="10"/>
        <v>3.9386719950806892E-4</v>
      </c>
      <c r="Q11" s="66">
        <f t="shared" si="10"/>
        <v>3.9386719950806892E-4</v>
      </c>
      <c r="R11" s="66">
        <f t="shared" si="10"/>
        <v>3.9386719950806892E-4</v>
      </c>
      <c r="S11" s="66">
        <f t="shared" si="10"/>
        <v>3.9386719950806892E-4</v>
      </c>
      <c r="T11" s="66">
        <f t="shared" si="10"/>
        <v>3.9386719950806892E-4</v>
      </c>
      <c r="U11" s="66">
        <f t="shared" si="10"/>
        <v>3.9386719950806892E-4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0</v>
      </c>
      <c r="E13" s="52">
        <f t="shared" si="11"/>
        <v>0.37875484049649527</v>
      </c>
      <c r="F13" s="52">
        <f t="shared" si="11"/>
        <v>0.34650975830867387</v>
      </c>
      <c r="G13" s="52">
        <f t="shared" si="11"/>
        <v>0.72436736592701578</v>
      </c>
      <c r="H13" s="52">
        <f t="shared" si="11"/>
        <v>1.8712830874099471</v>
      </c>
      <c r="I13" s="52">
        <f t="shared" si="11"/>
        <v>2.1951868725637782</v>
      </c>
      <c r="J13" s="52">
        <f t="shared" si="11"/>
        <v>2.6286696895173685</v>
      </c>
      <c r="K13" s="58">
        <f t="shared" si="11"/>
        <v>4.5334511268809363</v>
      </c>
      <c r="L13" s="52">
        <f t="shared" ref="L13:U13" si="12">L7/L10</f>
        <v>2.5489012001188462</v>
      </c>
      <c r="M13" s="52">
        <f t="shared" si="12"/>
        <v>2.7111161031572637</v>
      </c>
      <c r="N13" s="52">
        <f t="shared" si="12"/>
        <v>2.8836545427715738</v>
      </c>
      <c r="O13" s="52">
        <f t="shared" si="12"/>
        <v>3.0671735202941912</v>
      </c>
      <c r="P13" s="52">
        <f t="shared" si="12"/>
        <v>3.2623718493519545</v>
      </c>
      <c r="Q13" s="52">
        <f t="shared" si="12"/>
        <v>3.4699928168469731</v>
      </c>
      <c r="R13" s="52">
        <f t="shared" si="12"/>
        <v>3.6908270132852627</v>
      </c>
      <c r="S13" s="52">
        <f t="shared" si="12"/>
        <v>3.9257153432306233</v>
      </c>
      <c r="T13" s="52">
        <f t="shared" si="12"/>
        <v>4.1755522273471559</v>
      </c>
      <c r="U13" s="52">
        <f t="shared" si="12"/>
        <v>4.4412890082233174</v>
      </c>
      <c r="V13" s="70">
        <f>U13*(1+WACC!$B$13)/(WACC!$B$14-WACC!$B$13)</f>
        <v>43.229444648984064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2.2661082431234454</v>
      </c>
      <c r="M14" s="61">
        <f>M13/((1+WACC!$B$14)^(M3-$K$3))</f>
        <v>2.1429074472924601</v>
      </c>
      <c r="N14" s="61">
        <f>N13/((1+WACC!$B$14)^(N3-$K$3))</f>
        <v>2.0264046704724592</v>
      </c>
      <c r="O14" s="61">
        <f>O13/((1+WACC!$B$14)^(O3-$K$3))</f>
        <v>1.9162357635654679</v>
      </c>
      <c r="P14" s="61">
        <f>P13/((1+WACC!$B$14)^(P3-$K$3))</f>
        <v>1.8120563750532663</v>
      </c>
      <c r="Q14" s="61">
        <f>Q13/((1+WACC!$B$14)^(Q3-$K$3))</f>
        <v>1.7135408746685781</v>
      </c>
      <c r="R14" s="61">
        <f>R13/((1+WACC!$B$14)^(R3-$K$3))</f>
        <v>1.6203813355826993</v>
      </c>
      <c r="S14" s="61">
        <f>S13/((1+WACC!$B$14)^(S3-$K$3))</f>
        <v>1.5322865719282039</v>
      </c>
      <c r="T14" s="61">
        <f>T13/((1+WACC!$B$14)^(T3-$K$3))</f>
        <v>1.4489812286483581</v>
      </c>
      <c r="U14" s="61">
        <f>U13/((1+WACC!$B$14)^(U3-$K$3))</f>
        <v>1.3702049208284004</v>
      </c>
      <c r="V14" s="62">
        <f>V13/((1+WACC!$B$14)^(U3-$K$3))</f>
        <v>13.336938369253396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13.336938369253396</v>
      </c>
      <c r="L17" s="16">
        <f>C17/$C$19</f>
        <v>0.42765724306975711</v>
      </c>
      <c r="O17" s="18"/>
    </row>
    <row r="18" spans="2:22" x14ac:dyDescent="0.25">
      <c r="B18" s="8" t="s">
        <v>26</v>
      </c>
      <c r="C18" s="32">
        <f>SUM(14:14)-V14</f>
        <v>17.849107431163336</v>
      </c>
      <c r="K18" s="3"/>
      <c r="L18" s="16">
        <f>C18/$C$19</f>
        <v>0.57234275693024295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31.186045800416732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4.5053775315209768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0.55615199208734645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35.135271339850362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6.4060043887890217E-2</v>
      </c>
    </row>
    <row r="3" spans="1:6" x14ac:dyDescent="0.25">
      <c r="A3" s="72" t="s">
        <v>34</v>
      </c>
      <c r="B3">
        <v>2858474000</v>
      </c>
      <c r="C3">
        <v>944200000</v>
      </c>
      <c r="D3">
        <v>208274000</v>
      </c>
      <c r="E3">
        <v>938353000</v>
      </c>
      <c r="F3">
        <v>5.7462111396609172E-2</v>
      </c>
    </row>
    <row r="4" spans="1:6" x14ac:dyDescent="0.25">
      <c r="A4" s="72" t="s">
        <v>35</v>
      </c>
      <c r="B4">
        <v>2810134000</v>
      </c>
      <c r="C4">
        <v>929909000</v>
      </c>
      <c r="D4">
        <v>209896000</v>
      </c>
      <c r="E4">
        <v>1092188000</v>
      </c>
      <c r="F4">
        <v>6.8988454583391201E-2</v>
      </c>
    </row>
    <row r="5" spans="1:6" x14ac:dyDescent="0.25">
      <c r="A5" s="72" t="s">
        <v>36</v>
      </c>
      <c r="B5">
        <v>2761882000</v>
      </c>
      <c r="C5">
        <v>912414000</v>
      </c>
      <c r="D5">
        <v>209581000</v>
      </c>
      <c r="E5">
        <v>1045462000</v>
      </c>
      <c r="F5">
        <v>5.8781555120259073E-2</v>
      </c>
    </row>
    <row r="6" spans="1:6" x14ac:dyDescent="0.25">
      <c r="A6" s="72" t="s">
        <v>37</v>
      </c>
      <c r="B6">
        <v>2709072000</v>
      </c>
      <c r="C6">
        <v>751544000</v>
      </c>
      <c r="D6">
        <v>208054000</v>
      </c>
      <c r="E6">
        <v>1590217000</v>
      </c>
      <c r="F6">
        <v>6.9201487924172245E-2</v>
      </c>
    </row>
    <row r="7" spans="1:6" x14ac:dyDescent="0.25">
      <c r="A7" s="72" t="s">
        <v>38</v>
      </c>
      <c r="B7">
        <v>2654114000</v>
      </c>
      <c r="C7">
        <v>547268000</v>
      </c>
      <c r="D7">
        <v>208192000</v>
      </c>
      <c r="E7">
        <v>1444049000</v>
      </c>
      <c r="F7">
        <v>8.9002610160338502E-2</v>
      </c>
    </row>
    <row r="8" spans="1:6" x14ac:dyDescent="0.25">
      <c r="A8" s="72" t="s">
        <v>39</v>
      </c>
      <c r="B8">
        <v>2588611000</v>
      </c>
      <c r="C8">
        <v>469106000</v>
      </c>
      <c r="D8">
        <v>208071000</v>
      </c>
      <c r="E8">
        <v>1291257000</v>
      </c>
      <c r="F8">
        <v>9.0213558193418697E-2</v>
      </c>
    </row>
    <row r="9" spans="1:6" x14ac:dyDescent="0.25">
      <c r="A9" s="72" t="s">
        <v>40</v>
      </c>
      <c r="B9">
        <v>2515915000</v>
      </c>
      <c r="C9">
        <v>429105000</v>
      </c>
      <c r="D9">
        <v>201894000</v>
      </c>
      <c r="E9">
        <v>1031666000</v>
      </c>
      <c r="F9">
        <v>8.8360065286108735E-2</v>
      </c>
    </row>
    <row r="10" spans="1:6" x14ac:dyDescent="0.25">
      <c r="A10" s="72" t="s">
        <v>41</v>
      </c>
      <c r="B10">
        <v>2437167000</v>
      </c>
      <c r="C10">
        <v>386435000</v>
      </c>
      <c r="D10">
        <v>201393000</v>
      </c>
      <c r="E10">
        <v>975350000</v>
      </c>
      <c r="F10">
        <v>0.14926218643611031</v>
      </c>
    </row>
    <row r="11" spans="1:6" x14ac:dyDescent="0.25">
      <c r="A11" s="72" t="s">
        <v>42</v>
      </c>
      <c r="B11">
        <v>2337167000</v>
      </c>
      <c r="C11">
        <v>440394000</v>
      </c>
      <c r="D11">
        <v>200618000</v>
      </c>
      <c r="E11">
        <v>994725000</v>
      </c>
    </row>
    <row r="12" spans="1:6" x14ac:dyDescent="0.25">
      <c r="A12" s="72" t="s">
        <v>43</v>
      </c>
      <c r="B12">
        <v>2226827000</v>
      </c>
      <c r="C12">
        <v>496650000</v>
      </c>
      <c r="D12">
        <v>199666000</v>
      </c>
      <c r="E12">
        <v>967615000</v>
      </c>
      <c r="F12">
        <v>0.47325864141997709</v>
      </c>
    </row>
    <row r="13" spans="1:6" x14ac:dyDescent="0.25">
      <c r="A13" s="72" t="s">
        <v>44</v>
      </c>
      <c r="B13">
        <v>2107213000</v>
      </c>
      <c r="C13">
        <v>445074000</v>
      </c>
      <c r="D13">
        <v>198687000</v>
      </c>
      <c r="E13">
        <v>802822000</v>
      </c>
      <c r="F13">
        <v>0.30302298919930021</v>
      </c>
    </row>
    <row r="14" spans="1:6" x14ac:dyDescent="0.25">
      <c r="A14" s="72" t="s">
        <v>45</v>
      </c>
      <c r="B14">
        <v>1957283000</v>
      </c>
      <c r="C14">
        <v>418733000</v>
      </c>
      <c r="D14">
        <v>197597000</v>
      </c>
      <c r="E14">
        <v>818458000</v>
      </c>
      <c r="F14">
        <v>0.46831086145256351</v>
      </c>
    </row>
    <row r="15" spans="1:6" x14ac:dyDescent="0.25">
      <c r="A15" s="72" t="s">
        <v>46</v>
      </c>
      <c r="B15">
        <v>1794743000</v>
      </c>
      <c r="C15">
        <v>366764000</v>
      </c>
      <c r="D15">
        <v>195996000</v>
      </c>
      <c r="E15">
        <v>822869000</v>
      </c>
      <c r="F15">
        <v>5.7306762826226079</v>
      </c>
    </row>
    <row r="16" spans="1:6" x14ac:dyDescent="0.25">
      <c r="A16" s="72" t="s">
        <v>47</v>
      </c>
      <c r="B16">
        <v>1625108000</v>
      </c>
      <c r="C16">
        <v>304805000</v>
      </c>
      <c r="D16">
        <v>194342000</v>
      </c>
      <c r="E16">
        <v>780632000</v>
      </c>
      <c r="F16">
        <v>0.46540433712548429</v>
      </c>
    </row>
    <row r="17" spans="1:6" x14ac:dyDescent="0.25">
      <c r="A17" s="72" t="s">
        <v>48</v>
      </c>
      <c r="B17">
        <v>1453047000</v>
      </c>
      <c r="C17">
        <v>214559000</v>
      </c>
      <c r="D17">
        <v>188717000</v>
      </c>
      <c r="E17">
        <v>773505000</v>
      </c>
      <c r="F17">
        <v>0.23440650066388979</v>
      </c>
    </row>
    <row r="18" spans="1:6" x14ac:dyDescent="0.25">
      <c r="A18" s="72" t="s">
        <v>49</v>
      </c>
      <c r="B18">
        <v>1297044000</v>
      </c>
      <c r="C18">
        <v>186107000</v>
      </c>
      <c r="D18">
        <v>186423000</v>
      </c>
      <c r="E18">
        <v>598574000</v>
      </c>
      <c r="F18">
        <v>0.16877055093746751</v>
      </c>
    </row>
    <row r="19" spans="1:6" x14ac:dyDescent="0.25">
      <c r="A19" s="72" t="s">
        <v>50</v>
      </c>
      <c r="B19">
        <v>1163623000</v>
      </c>
      <c r="C19">
        <v>133908000</v>
      </c>
      <c r="D19">
        <v>184862000</v>
      </c>
      <c r="E19">
        <v>674039000</v>
      </c>
      <c r="F19">
        <v>1.1024663429706431E-2</v>
      </c>
    </row>
    <row r="20" spans="1:6" x14ac:dyDescent="0.25">
      <c r="A20" s="72" t="s">
        <v>51</v>
      </c>
      <c r="B20">
        <v>1057026000</v>
      </c>
      <c r="C20">
        <v>45987000</v>
      </c>
      <c r="D20">
        <v>182978000</v>
      </c>
      <c r="E20">
        <v>757949000</v>
      </c>
      <c r="F20">
        <v>0.15681366784756179</v>
      </c>
    </row>
    <row r="21" spans="1:6" x14ac:dyDescent="0.25">
      <c r="A21" s="72" t="s">
        <v>52</v>
      </c>
      <c r="B21">
        <v>973971000</v>
      </c>
      <c r="C21">
        <v>43650000</v>
      </c>
      <c r="D21">
        <v>180859000</v>
      </c>
      <c r="E21">
        <v>656142000</v>
      </c>
      <c r="F21">
        <v>-0.42653364007770411</v>
      </c>
    </row>
    <row r="22" spans="1:6" x14ac:dyDescent="0.25">
      <c r="A22" s="72" t="s">
        <v>53</v>
      </c>
      <c r="B22">
        <v>898808000</v>
      </c>
      <c r="C22">
        <v>50940000</v>
      </c>
      <c r="D22">
        <v>178314000</v>
      </c>
      <c r="E22">
        <v>653777000</v>
      </c>
      <c r="F22">
        <v>-0.61854416010314761</v>
      </c>
    </row>
    <row r="23" spans="1:6" x14ac:dyDescent="0.25">
      <c r="A23" s="72" t="s">
        <v>54</v>
      </c>
      <c r="B23">
        <v>827691000</v>
      </c>
      <c r="C23">
        <v>60774000</v>
      </c>
      <c r="D23">
        <v>175389000</v>
      </c>
      <c r="E23">
        <v>750253000</v>
      </c>
      <c r="F23">
        <v>4.6419147051076362</v>
      </c>
    </row>
    <row r="24" spans="1:6" x14ac:dyDescent="0.25">
      <c r="A24" s="72" t="s">
        <v>55</v>
      </c>
      <c r="B24">
        <v>759123000</v>
      </c>
      <c r="C24">
        <v>67282000</v>
      </c>
      <c r="D24">
        <v>172101000</v>
      </c>
      <c r="E24">
        <v>752124000</v>
      </c>
      <c r="F24">
        <v>-1.9113274029574859E-2</v>
      </c>
    </row>
    <row r="25" spans="1:6" x14ac:dyDescent="0.25">
      <c r="A25" s="72" t="s">
        <v>56</v>
      </c>
      <c r="B25">
        <v>700969000</v>
      </c>
      <c r="C25">
        <v>45672000</v>
      </c>
      <c r="D25">
        <v>167269000</v>
      </c>
      <c r="E25">
        <v>769014000</v>
      </c>
      <c r="F25">
        <v>-0.77639704716740332</v>
      </c>
    </row>
    <row r="26" spans="1:6" x14ac:dyDescent="0.25">
      <c r="A26" s="72" t="s">
        <v>57</v>
      </c>
      <c r="B26">
        <v>650111000</v>
      </c>
      <c r="C26">
        <v>51575000</v>
      </c>
      <c r="D26">
        <v>167736000</v>
      </c>
      <c r="E26">
        <v>1094133000</v>
      </c>
      <c r="F26">
        <v>15.596939627380561</v>
      </c>
    </row>
    <row r="27" spans="1:6" x14ac:dyDescent="0.25">
      <c r="A27" s="72" t="s">
        <v>58</v>
      </c>
      <c r="B27">
        <v>602315000</v>
      </c>
      <c r="C27">
        <v>62905000</v>
      </c>
      <c r="D27">
        <v>166083686</v>
      </c>
      <c r="E27">
        <v>818795000</v>
      </c>
      <c r="F27">
        <v>-0.55647600423759191</v>
      </c>
    </row>
    <row r="28" spans="1:6" x14ac:dyDescent="0.25">
      <c r="A28" s="72" t="s">
        <v>59</v>
      </c>
      <c r="B28">
        <v>560814000</v>
      </c>
      <c r="C28">
        <v>52325000</v>
      </c>
      <c r="D28">
        <v>36334395</v>
      </c>
      <c r="E28">
        <v>269429000</v>
      </c>
      <c r="F28">
        <v>1.6475079472766041</v>
      </c>
    </row>
    <row r="29" spans="1:6" x14ac:dyDescent="0.25">
      <c r="A29" s="72" t="s">
        <v>60</v>
      </c>
      <c r="B29">
        <v>518504000</v>
      </c>
      <c r="C29">
        <v>36050000</v>
      </c>
      <c r="D29">
        <v>32294000</v>
      </c>
      <c r="E29">
        <v>256867000</v>
      </c>
    </row>
    <row r="30" spans="1:6" x14ac:dyDescent="0.25">
      <c r="A30" s="72" t="s">
        <v>61</v>
      </c>
      <c r="D30">
        <v>32294000</v>
      </c>
    </row>
    <row r="31" spans="1:6" x14ac:dyDescent="0.25">
      <c r="A31" s="72" t="s">
        <v>62</v>
      </c>
      <c r="D31">
        <v>31638340</v>
      </c>
    </row>
    <row r="32" spans="1:6" x14ac:dyDescent="0.25">
      <c r="A32" s="72" t="s">
        <v>63</v>
      </c>
      <c r="D32">
        <v>32294000</v>
      </c>
      <c r="E32">
        <v>190556000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64</v>
      </c>
      <c r="B1" s="27" t="s">
        <v>65</v>
      </c>
      <c r="C1" t="s">
        <v>66</v>
      </c>
      <c r="D1" t="s">
        <v>67</v>
      </c>
      <c r="F1" s="27" t="s">
        <v>65</v>
      </c>
      <c r="G1" t="s">
        <v>66</v>
      </c>
      <c r="H1" t="s">
        <v>67</v>
      </c>
      <c r="J1" t="s">
        <v>68</v>
      </c>
      <c r="K1" t="s">
        <v>66</v>
      </c>
      <c r="L1" t="s">
        <v>67</v>
      </c>
      <c r="N1" t="s">
        <v>69</v>
      </c>
      <c r="O1" t="s">
        <v>66</v>
      </c>
      <c r="P1" t="s">
        <v>67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34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36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37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70</v>
      </c>
    </row>
    <row r="7" spans="1:46" x14ac:dyDescent="0.25">
      <c r="A7" s="27" t="s">
        <v>38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71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40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72</v>
      </c>
    </row>
    <row r="10" spans="1:46" x14ac:dyDescent="0.25">
      <c r="A10" s="27" t="s">
        <v>41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73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44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74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75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76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77</v>
      </c>
      <c r="C1" s="72" t="s">
        <v>78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79</v>
      </c>
      <c r="D2">
        <v>1.033047844494247</v>
      </c>
      <c r="E2">
        <v>0.11228922420324459</v>
      </c>
    </row>
    <row r="3" spans="1:5" x14ac:dyDescent="0.25">
      <c r="A3" s="72">
        <v>1</v>
      </c>
      <c r="B3">
        <v>3</v>
      </c>
      <c r="C3" t="s">
        <v>80</v>
      </c>
      <c r="D3">
        <v>2.233734372004156</v>
      </c>
      <c r="E3">
        <v>0.19546078051348659</v>
      </c>
    </row>
    <row r="4" spans="1:5" x14ac:dyDescent="0.25">
      <c r="A4" s="72">
        <v>2</v>
      </c>
      <c r="B4">
        <v>3</v>
      </c>
      <c r="C4" t="s">
        <v>81</v>
      </c>
      <c r="D4">
        <v>2.02571140790839</v>
      </c>
      <c r="E4">
        <v>0.18105102969534759</v>
      </c>
    </row>
    <row r="5" spans="1:5" x14ac:dyDescent="0.25">
      <c r="A5" s="72">
        <v>3</v>
      </c>
      <c r="B5">
        <v>5</v>
      </c>
      <c r="C5" t="s">
        <v>79</v>
      </c>
      <c r="D5">
        <v>0.91492446977504405</v>
      </c>
      <c r="E5">
        <v>0.1041068179823728</v>
      </c>
    </row>
    <row r="6" spans="1:5" x14ac:dyDescent="0.25">
      <c r="A6" s="72">
        <v>4</v>
      </c>
      <c r="B6">
        <v>5</v>
      </c>
      <c r="C6" t="s">
        <v>80</v>
      </c>
      <c r="D6">
        <v>1.3565742679508761</v>
      </c>
      <c r="E6">
        <v>0.13469989970418389</v>
      </c>
    </row>
    <row r="7" spans="1:5" x14ac:dyDescent="0.25">
      <c r="A7" s="72">
        <v>5</v>
      </c>
      <c r="B7">
        <v>5</v>
      </c>
      <c r="C7" t="s">
        <v>81</v>
      </c>
      <c r="D7">
        <v>1.2370856672101911</v>
      </c>
      <c r="E7">
        <v>0.1264229242761791</v>
      </c>
    </row>
    <row r="8" spans="1:5" x14ac:dyDescent="0.25">
      <c r="A8" s="72">
        <v>6</v>
      </c>
      <c r="B8" t="s">
        <v>75</v>
      </c>
      <c r="D8">
        <v>1.466846338223817</v>
      </c>
      <c r="E8">
        <v>0.14233844606246909</v>
      </c>
    </row>
    <row r="9" spans="1:5" x14ac:dyDescent="0.25">
      <c r="A9" s="72">
        <v>7</v>
      </c>
      <c r="B9" t="s">
        <v>76</v>
      </c>
      <c r="D9">
        <v>1.296829967580533</v>
      </c>
      <c r="E9">
        <v>0.13056141199018151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2024-10-18T21:16:26Z</dcterms:modified>
</cp:coreProperties>
</file>