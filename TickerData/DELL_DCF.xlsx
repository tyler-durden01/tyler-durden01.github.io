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6" documentId="11_0BC0B0A42B3C0A61546E181A9E223F7DC279A2E9" xr6:coauthVersionLast="47" xr6:coauthVersionMax="47" xr10:uidLastSave="{8B9991DA-5FC0-4182-A218-299B41178CC9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K31" i="5"/>
  <c r="G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O31" i="5" s="1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I10" i="3"/>
  <c r="I11" i="3" s="1"/>
  <c r="H10" i="3"/>
  <c r="H11" i="3" s="1"/>
  <c r="G10" i="3"/>
  <c r="G11" i="3" s="1"/>
  <c r="F10" i="3"/>
  <c r="K7" i="3"/>
  <c r="M5" i="3"/>
  <c r="N5" i="3" s="1"/>
  <c r="O5" i="3" s="1"/>
  <c r="P5" i="3" s="1"/>
  <c r="Q5" i="3" s="1"/>
  <c r="R5" i="3" s="1"/>
  <c r="S5" i="3" s="1"/>
  <c r="T5" i="3" s="1"/>
  <c r="U5" i="3" s="1"/>
  <c r="L5" i="3"/>
  <c r="J4" i="3"/>
  <c r="J5" i="3" s="1"/>
  <c r="I4" i="3"/>
  <c r="I5" i="3" s="1"/>
  <c r="H4" i="3"/>
  <c r="H5" i="3" s="1"/>
  <c r="G4" i="3"/>
  <c r="J3" i="3"/>
  <c r="I3" i="3"/>
  <c r="K1" i="3"/>
  <c r="K4" i="3" s="1"/>
  <c r="J1" i="3"/>
  <c r="J7" i="3" s="1"/>
  <c r="I1" i="3"/>
  <c r="I7" i="3" s="1"/>
  <c r="H1" i="3"/>
  <c r="H3" i="3" s="1"/>
  <c r="G1" i="3"/>
  <c r="G7" i="3" s="1"/>
  <c r="F1" i="3"/>
  <c r="F4" i="3" s="1"/>
  <c r="E1" i="3"/>
  <c r="E10" i="3" s="1"/>
  <c r="E11" i="3" s="1"/>
  <c r="D1" i="3"/>
  <c r="D10" i="3" s="1"/>
  <c r="J8" i="3" l="1"/>
  <c r="J13" i="3"/>
  <c r="I13" i="3"/>
  <c r="I8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K8" i="3"/>
  <c r="G5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F11" i="3"/>
  <c r="G8" i="3"/>
  <c r="G13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D7" i="3"/>
  <c r="K3" i="3"/>
  <c r="E7" i="3"/>
  <c r="D3" i="3"/>
  <c r="J10" i="3"/>
  <c r="J11" i="3" s="1"/>
  <c r="L1" i="3"/>
  <c r="E3" i="3"/>
  <c r="F3" i="3"/>
  <c r="D4" i="3"/>
  <c r="H7" i="3"/>
  <c r="K10" i="3"/>
  <c r="K13" i="3" s="1"/>
  <c r="F7" i="3"/>
  <c r="G3" i="3"/>
  <c r="E4" i="3"/>
  <c r="E5" i="3" s="1"/>
  <c r="H8" i="3" l="1"/>
  <c r="H13" i="3"/>
  <c r="F5" i="3"/>
  <c r="D8" i="3"/>
  <c r="D13" i="3"/>
  <c r="F8" i="3"/>
  <c r="F13" i="3"/>
  <c r="E13" i="3"/>
  <c r="E8" i="3"/>
  <c r="L3" i="3"/>
  <c r="M1" i="3"/>
  <c r="K11" i="3"/>
  <c r="M11" i="3" s="1"/>
  <c r="N11" i="3" s="1"/>
  <c r="O11" i="3" s="1"/>
  <c r="P11" i="3" s="1"/>
  <c r="Q11" i="3" s="1"/>
  <c r="R11" i="3" s="1"/>
  <c r="S11" i="3" s="1"/>
  <c r="T11" i="3" s="1"/>
  <c r="U11" i="3" s="1"/>
  <c r="C21" i="3"/>
  <c r="C20" i="3"/>
  <c r="L10" i="3" l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L8" i="3"/>
  <c r="M3" i="3"/>
  <c r="N1" i="3"/>
  <c r="O1" i="3" l="1"/>
  <c r="N3" i="3"/>
  <c r="M8" i="3"/>
  <c r="L7" i="3"/>
  <c r="L13" i="3" s="1"/>
  <c r="L14" i="3" s="1"/>
  <c r="N8" i="3" l="1"/>
  <c r="M7" i="3"/>
  <c r="M13" i="3" s="1"/>
  <c r="M14" i="3" s="1"/>
  <c r="O3" i="3"/>
  <c r="P1" i="3"/>
  <c r="O8" i="3" l="1"/>
  <c r="N7" i="3"/>
  <c r="N13" i="3" s="1"/>
  <c r="N14" i="3" s="1"/>
  <c r="P3" i="3"/>
  <c r="Q1" i="3"/>
  <c r="R1" i="3" l="1"/>
  <c r="Q3" i="3"/>
  <c r="O7" i="3"/>
  <c r="O13" i="3" s="1"/>
  <c r="O14" i="3" s="1"/>
  <c r="P8" i="3"/>
  <c r="S1" i="3" l="1"/>
  <c r="R3" i="3"/>
  <c r="P7" i="3"/>
  <c r="P13" i="3" s="1"/>
  <c r="P14" i="3" s="1"/>
  <c r="Q8" i="3"/>
  <c r="Q7" i="3" l="1"/>
  <c r="Q13" i="3" s="1"/>
  <c r="Q14" i="3" s="1"/>
  <c r="R8" i="3"/>
  <c r="S3" i="3"/>
  <c r="T1" i="3"/>
  <c r="T3" i="3" l="1"/>
  <c r="U1" i="3"/>
  <c r="U3" i="3" s="1"/>
  <c r="R7" i="3"/>
  <c r="R13" i="3" s="1"/>
  <c r="R14" i="3" s="1"/>
  <c r="S8" i="3"/>
  <c r="T8" i="3" l="1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<sst xmlns="http://schemas.openxmlformats.org/spreadsheetml/2006/main" count="130" uniqueCount="109">
  <si>
    <t>This sheet contains FactSet XML data for use with this workbook's =FDS codes.  Modifying the worksheet's contents may damage the workbook's =FDS functionality.</t>
  </si>
  <si>
    <t>DELL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</si>
  <si>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</si>
  <si>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</si>
  <si>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</si>
  <si>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</si>
  <si>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</si>
  <si>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</si>
  <si>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</si>
  <si>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</si>
  <si>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</si>
  <si>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</si>
  <si>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</si>
  <si>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</si>
  <si>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</si>
  <si>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</si>
  <si>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</si>
  <si>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</si>
  <si>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</si>
  <si>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</si>
  <si>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</si>
  <si>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</si>
  <si>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</si>
  <si>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</si>
  <si>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</si>
  <si>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</si>
  <si>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</si>
  <si>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</si>
  <si>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</si>
  <si>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</si>
  <si>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</si>
  <si>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</si>
  <si>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</si>
  <si>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2024-11-02</t>
  </si>
  <si>
    <t>2024-08-02</t>
  </si>
  <si>
    <t>2024-05-03</t>
  </si>
  <si>
    <t>2024-02-02</t>
  </si>
  <si>
    <t>2023-11-03</t>
  </si>
  <si>
    <t>2023-08-04</t>
  </si>
  <si>
    <t>2023-05-05</t>
  </si>
  <si>
    <t>2023-02-03</t>
  </si>
  <si>
    <t>2022-10-28</t>
  </si>
  <si>
    <t>2022-07-29</t>
  </si>
  <si>
    <t>2022-04-29</t>
  </si>
  <si>
    <t>2022-01-28</t>
  </si>
  <si>
    <t>2021-10-29</t>
  </si>
  <si>
    <t>2021-07-30</t>
  </si>
  <si>
    <t>2021-04-30</t>
  </si>
  <si>
    <t>2021-01-29</t>
  </si>
  <si>
    <t>2020-10-30</t>
  </si>
  <si>
    <t>2020-07-31</t>
  </si>
  <si>
    <t>2020-05-01</t>
  </si>
  <si>
    <t>2020-01-31</t>
  </si>
  <si>
    <t>2019-11-01</t>
  </si>
  <si>
    <t>2019-08-02</t>
  </si>
  <si>
    <t>2019-05-03</t>
  </si>
  <si>
    <t>2019-02-01</t>
  </si>
  <si>
    <t>2018-11-02</t>
  </si>
  <si>
    <t>2018-08-03</t>
  </si>
  <si>
    <t>2018-05-04</t>
  </si>
  <si>
    <t>2018-02-02</t>
  </si>
  <si>
    <t>2017-11-03</t>
  </si>
  <si>
    <t>2017-08-04</t>
  </si>
  <si>
    <t>2017-05-05</t>
  </si>
  <si>
    <t>2017-02-03</t>
  </si>
  <si>
    <t>2016-10-28</t>
  </si>
  <si>
    <t>2016-07-29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</si>
  <si>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</si>
  <si>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</si>
  <si>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</si>
  <si>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</si>
  <si>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</si>
  <si>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</si>
  <si>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</si>
  <si>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</si>
  <si>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</si>
  <si>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</si>
  <si>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</si>
  <si>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</si>
  <si>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</si>
  <si>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</si>
  <si>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</si>
  <si>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</si>
  <si>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</si>
  <si>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</si>
  <si>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</si>
  <si>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</si>
  <si>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</si>
  <si>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</si>
  <si>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</si>
  <si>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</si>
  <si>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2021-01-31</t>
  </si>
  <si>
    <t>2020-10-31</t>
  </si>
  <si>
    <t>2020-04-30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</si>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</sst>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5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  <xf numFmtId="44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85484000000</v>
      </c>
    </row>
    <row r="3" spans="1:2" x14ac:dyDescent="0.25">
      <c r="A3" s="73" t="s">
        <v>3</v>
      </c>
      <c r="B3">
        <v>17811000000</v>
      </c>
    </row>
    <row r="4" spans="1:2" x14ac:dyDescent="0.25">
      <c r="A4" s="73" t="s">
        <v>4</v>
      </c>
      <c r="B4">
        <v>1.1862927933928329</v>
      </c>
    </row>
    <row r="5" spans="1:2" x14ac:dyDescent="0.25">
      <c r="A5" s="73" t="s">
        <v>5</v>
      </c>
      <c r="B5">
        <v>8.3712312615799228E-2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-2797000000</v>
      </c>
    </row>
    <row r="8" spans="1:2" x14ac:dyDescent="0.25">
      <c r="A8" s="73" t="s">
        <v>8</v>
      </c>
      <c r="B8">
        <v>-0.18629279339283339</v>
      </c>
    </row>
    <row r="9" spans="1:2" x14ac:dyDescent="0.25">
      <c r="A9" s="73" t="s">
        <v>9</v>
      </c>
      <c r="B9">
        <v>0.12568924771303319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1.2264941188011029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5.5037776351848033E-2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S17" sqref="S17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2017-08-04</v>
      </c>
      <c r="E1" s="66" t="str">
        <f>Python!A27</f>
        <v>2018-08-03</v>
      </c>
      <c r="F1" s="66" t="str">
        <f>Python!A23</f>
        <v>2019-08-02</v>
      </c>
      <c r="G1" s="66" t="str">
        <f>Python!A19</f>
        <v>2020-07-31</v>
      </c>
      <c r="H1" s="66" t="str">
        <f>Python!A15</f>
        <v>2021-07-30</v>
      </c>
      <c r="I1" s="66" t="str">
        <f>Python!A11</f>
        <v>2022-07-29</v>
      </c>
      <c r="J1" s="66" t="str">
        <f>Python!A7</f>
        <v>2023-08-04</v>
      </c>
      <c r="K1" s="66" t="str">
        <f>Python!A3</f>
        <v>2024-08-02</v>
      </c>
      <c r="L1" s="28">
        <f t="shared" ref="L1:U1" si="0">EDATE(K1, 12)</f>
        <v>45871</v>
      </c>
      <c r="M1" s="28">
        <f t="shared" si="0"/>
        <v>46236</v>
      </c>
      <c r="N1" s="28">
        <f t="shared" si="0"/>
        <v>46601</v>
      </c>
      <c r="O1" s="28">
        <f t="shared" si="0"/>
        <v>46967</v>
      </c>
      <c r="P1" s="28">
        <f t="shared" si="0"/>
        <v>47332</v>
      </c>
      <c r="Q1" s="28">
        <f t="shared" si="0"/>
        <v>47697</v>
      </c>
      <c r="R1" s="28">
        <f t="shared" si="0"/>
        <v>48062</v>
      </c>
      <c r="S1" s="28">
        <f t="shared" si="0"/>
        <v>48428</v>
      </c>
      <c r="T1" s="28">
        <f t="shared" si="0"/>
        <v>48793</v>
      </c>
      <c r="U1" s="28">
        <f t="shared" si="0"/>
        <v>49158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73842</v>
      </c>
      <c r="E4" s="36">
        <f>IFERROR(INDEX(Python!$1:$1048576,MATCH(DCF_Simple!E$1,Python!$A:$A,0),MATCH(DCF_Simple!$B4,Python!$1:$1,0))/1000000,0)</f>
        <v>85789</v>
      </c>
      <c r="F4" s="36">
        <f>IFERROR(INDEX(Python!$1:$1048576,MATCH(DCF_Simple!F$1,Python!$A:$A,0),MATCH(DCF_Simple!$B4,Python!$1:$1,0))/1000000,0)</f>
        <v>91601</v>
      </c>
      <c r="G4" s="36">
        <f>IFERROR(INDEX(Python!$1:$1048576,MATCH(DCF_Simple!G$1,Python!$A:$A,0),MATCH(DCF_Simple!$B4,Python!$1:$1,0))/1000000,0)</f>
        <v>91506</v>
      </c>
      <c r="H4" s="36">
        <f>IFERROR(INDEX(Python!$1:$1048576,MATCH(DCF_Simple!H$1,Python!$A:$A,0),MATCH(DCF_Simple!$B4,Python!$1:$1,0))/1000000,0)</f>
        <v>96375</v>
      </c>
      <c r="I4" s="36">
        <f>IFERROR(INDEX(Python!$1:$1048576,MATCH(DCF_Simple!I$1,Python!$A:$A,0),MATCH(DCF_Simple!$B4,Python!$1:$1,0))/1000000,0)</f>
        <v>101159</v>
      </c>
      <c r="J4" s="36">
        <f>IFERROR(INDEX(Python!$1:$1048576,MATCH(DCF_Simple!J$1,Python!$A:$A,0),MATCH(DCF_Simple!$B4,Python!$1:$1,0))/1000000,0)</f>
        <v>93616</v>
      </c>
      <c r="K4" s="55">
        <f>IFERROR(INDEX(Python!$1:$1048576,MATCH(DCF_Simple!K$1,Python!$A:$A,0),MATCH(DCF_Simple!$B4,Python!$1:$1,0))/1000000,0)</f>
        <v>91839</v>
      </c>
      <c r="L4" s="37">
        <f t="shared" ref="L4:U4" si="2">K4*(1+L5)</f>
        <v>101753.03882971552</v>
      </c>
      <c r="M4" s="36">
        <f t="shared" si="2"/>
        <v>107245.16950404423</v>
      </c>
      <c r="N4" s="36">
        <f t="shared" si="2"/>
        <v>113033.73849304953</v>
      </c>
      <c r="O4" s="36">
        <f t="shared" si="2"/>
        <v>119134.74608507472</v>
      </c>
      <c r="P4" s="36">
        <f t="shared" si="2"/>
        <v>125565.05618566231</v>
      </c>
      <c r="Q4" s="36">
        <f t="shared" si="2"/>
        <v>132342.44293138073</v>
      </c>
      <c r="R4" s="36">
        <f t="shared" si="2"/>
        <v>139485.63981963691</v>
      </c>
      <c r="S4" s="36">
        <f t="shared" si="2"/>
        <v>147014.39149027571</v>
      </c>
      <c r="T4" s="36">
        <f t="shared" si="2"/>
        <v>154949.50830209636</v>
      </c>
      <c r="U4" s="36">
        <f t="shared" si="2"/>
        <v>163312.92385514197</v>
      </c>
      <c r="V4" s="19">
        <f>U4</f>
        <v>163312.92385514197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0.16179139243249097</v>
      </c>
      <c r="F5" s="42">
        <f t="shared" si="3"/>
        <v>6.7747613330380263E-2</v>
      </c>
      <c r="G5" s="42">
        <f t="shared" si="3"/>
        <v>-1.0371065818058911E-3</v>
      </c>
      <c r="H5" s="42">
        <f t="shared" si="3"/>
        <v>5.3209625598321431E-2</v>
      </c>
      <c r="I5" s="42">
        <f t="shared" si="3"/>
        <v>4.9639429312581029E-2</v>
      </c>
      <c r="J5" s="42">
        <f t="shared" si="3"/>
        <v>-7.4565782579898987E-2</v>
      </c>
      <c r="K5" s="58">
        <f t="shared" si="3"/>
        <v>-1.8981797983250726E-2</v>
      </c>
      <c r="L5" s="43">
        <f>Python!F2</f>
        <v>0.1079502044851917</v>
      </c>
      <c r="M5" s="43">
        <f>L5/2</f>
        <v>5.397510224259585E-2</v>
      </c>
      <c r="N5" s="38">
        <f t="shared" ref="N5:U5" si="4">M5</f>
        <v>5.397510224259585E-2</v>
      </c>
      <c r="O5" s="38">
        <f t="shared" si="4"/>
        <v>5.397510224259585E-2</v>
      </c>
      <c r="P5" s="38">
        <f t="shared" si="4"/>
        <v>5.397510224259585E-2</v>
      </c>
      <c r="Q5" s="38">
        <f t="shared" si="4"/>
        <v>5.397510224259585E-2</v>
      </c>
      <c r="R5" s="38">
        <f t="shared" si="4"/>
        <v>5.397510224259585E-2</v>
      </c>
      <c r="S5" s="38">
        <f t="shared" si="4"/>
        <v>5.397510224259585E-2</v>
      </c>
      <c r="T5" s="38">
        <f t="shared" si="4"/>
        <v>5.397510224259585E-2</v>
      </c>
      <c r="U5" s="38">
        <f t="shared" si="4"/>
        <v>5.397510224259585E-2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1043</v>
      </c>
      <c r="E7" s="52">
        <f>IFERROR(INDEX(Python!$1:$1048576,MATCH(DCF_Simple!E$1,Python!$A:$A,0),MATCH(DCF_Simple!$B7,Python!$1:$1,0))/1000000,0)</f>
        <v>6879</v>
      </c>
      <c r="F7" s="52">
        <f>IFERROR(INDEX(Python!$1:$1048576,MATCH(DCF_Simple!F$1,Python!$A:$A,0),MATCH(DCF_Simple!$B7,Python!$1:$1,0))/1000000,0)</f>
        <v>5088</v>
      </c>
      <c r="G7" s="52">
        <f>IFERROR(INDEX(Python!$1:$1048576,MATCH(DCF_Simple!G$1,Python!$A:$A,0),MATCH(DCF_Simple!$B7,Python!$1:$1,0))/1000000,0)</f>
        <v>5444</v>
      </c>
      <c r="H7" s="52">
        <f>IFERROR(INDEX(Python!$1:$1048576,MATCH(DCF_Simple!H$1,Python!$A:$A,0),MATCH(DCF_Simple!$B7,Python!$1:$1,0))/1000000,0)</f>
        <v>10599</v>
      </c>
      <c r="I7" s="52">
        <f>IFERROR(INDEX(Python!$1:$1048576,MATCH(DCF_Simple!I$1,Python!$A:$A,0),MATCH(DCF_Simple!$B7,Python!$1:$1,0))/1000000,0)</f>
        <v>3763</v>
      </c>
      <c r="J7" s="52">
        <f>IFERROR(INDEX(Python!$1:$1048576,MATCH(DCF_Simple!J$1,Python!$A:$A,0),MATCH(DCF_Simple!$B7,Python!$1:$1,0))/1000000,0)</f>
        <v>5270</v>
      </c>
      <c r="K7" s="57">
        <f>IFERROR(INDEX(Python!$1:$1048576,MATCH(DCF_Simple!K$1,Python!$A:$A,0),MATCH(DCF_Simple!$B7,Python!$1:$1,0))/1000000,0)</f>
        <v>3359</v>
      </c>
      <c r="L7" s="64">
        <f t="shared" ref="L7:U7" si="5">L8*L4</f>
        <v>5715.8836009097477</v>
      </c>
      <c r="M7" s="64">
        <f t="shared" si="5"/>
        <v>6024.3990026756273</v>
      </c>
      <c r="N7" s="64">
        <f t="shared" si="5"/>
        <v>6349.5665547952367</v>
      </c>
      <c r="O7" s="64">
        <f t="shared" si="5"/>
        <v>6692.2850587864759</v>
      </c>
      <c r="P7" s="64">
        <f t="shared" si="5"/>
        <v>7053.5018290710723</v>
      </c>
      <c r="Q7" s="64">
        <f t="shared" si="5"/>
        <v>7434.2153114635203</v>
      </c>
      <c r="R7" s="64">
        <f t="shared" si="5"/>
        <v>7835.4778429932358</v>
      </c>
      <c r="S7" s="64">
        <f t="shared" si="5"/>
        <v>8258.3985606883889</v>
      </c>
      <c r="T7" s="64">
        <f t="shared" si="5"/>
        <v>8704.146467361652</v>
      </c>
      <c r="U7" s="64">
        <f t="shared" si="5"/>
        <v>9173.9536628720271</v>
      </c>
      <c r="V7" s="65">
        <f>U7</f>
        <v>9173.9536628720271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1.4124752850681184E-2</v>
      </c>
      <c r="E8" s="42">
        <f t="shared" si="6"/>
        <v>8.0185105316532418E-2</v>
      </c>
      <c r="F8" s="42">
        <f t="shared" si="6"/>
        <v>5.5545245139245206E-2</v>
      </c>
      <c r="G8" s="42">
        <f t="shared" si="6"/>
        <v>5.9493366555198567E-2</v>
      </c>
      <c r="H8" s="42">
        <f t="shared" si="6"/>
        <v>0.10997665369649806</v>
      </c>
      <c r="I8" s="42">
        <f t="shared" si="6"/>
        <v>3.7198865152878145E-2</v>
      </c>
      <c r="J8" s="42">
        <f t="shared" si="6"/>
        <v>5.6293795932319264E-2</v>
      </c>
      <c r="K8" s="58">
        <f t="shared" si="6"/>
        <v>3.6574875597513039E-2</v>
      </c>
      <c r="L8" s="38">
        <f>AVERAGE(D8:K8)</f>
        <v>5.6174082530108235E-2</v>
      </c>
      <c r="M8" s="38">
        <f t="shared" ref="M8:U8" si="7">L8</f>
        <v>5.6174082530108235E-2</v>
      </c>
      <c r="N8" s="38">
        <f t="shared" si="7"/>
        <v>5.6174082530108235E-2</v>
      </c>
      <c r="O8" s="38">
        <f t="shared" si="7"/>
        <v>5.6174082530108235E-2</v>
      </c>
      <c r="P8" s="38">
        <f t="shared" si="7"/>
        <v>5.6174082530108235E-2</v>
      </c>
      <c r="Q8" s="38">
        <f t="shared" si="7"/>
        <v>5.6174082530108235E-2</v>
      </c>
      <c r="R8" s="38">
        <f t="shared" si="7"/>
        <v>5.6174082530108235E-2</v>
      </c>
      <c r="S8" s="38">
        <f t="shared" si="7"/>
        <v>5.6174082530108235E-2</v>
      </c>
      <c r="T8" s="38">
        <f t="shared" si="7"/>
        <v>5.6174082530108235E-2</v>
      </c>
      <c r="U8" s="38">
        <f t="shared" si="7"/>
        <v>5.6174082530108235E-2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769</v>
      </c>
      <c r="E10" s="17">
        <f>IFERROR(INDEX(Python!$1:$1048576,MATCH(DCF_Simple!E$1,Python!$A:$A,0),MATCH(DCF_Simple!$B10,Python!$1:$1,0))/1000000,0)</f>
        <v>766</v>
      </c>
      <c r="F10" s="17">
        <f>IFERROR(INDEX(Python!$1:$1048576,MATCH(DCF_Simple!F$1,Python!$A:$A,0),MATCH(DCF_Simple!$B10,Python!$1:$1,0))/1000000,0)</f>
        <v>751</v>
      </c>
      <c r="G10" s="17">
        <f>IFERROR(INDEX(Python!$1:$1048576,MATCH(DCF_Simple!G$1,Python!$A:$A,0),MATCH(DCF_Simple!$B10,Python!$1:$1,0))/1000000,0)</f>
        <v>761</v>
      </c>
      <c r="H10" s="17">
        <f>IFERROR(INDEX(Python!$1:$1048576,MATCH(DCF_Simple!H$1,Python!$A:$A,0),MATCH(DCF_Simple!$B10,Python!$1:$1,0))/1000000,0)</f>
        <v>786</v>
      </c>
      <c r="I10" s="17">
        <f>IFERROR(INDEX(Python!$1:$1048576,MATCH(DCF_Simple!I$1,Python!$A:$A,0),MATCH(DCF_Simple!$B10,Python!$1:$1,0))/1000000,0)</f>
        <v>755</v>
      </c>
      <c r="J10" s="17">
        <f>IFERROR(INDEX(Python!$1:$1048576,MATCH(DCF_Simple!J$1,Python!$A:$A,0),MATCH(DCF_Simple!$B10,Python!$1:$1,0))/1000000,0)</f>
        <v>738</v>
      </c>
      <c r="K10" s="69">
        <f>IFERROR(INDEX(Python!$1:$1048576,MATCH(DCF_Simple!K$1,Python!$A:$A,0),MATCH(DCF_Simple!$B10,Python!$1:$1,0))/1000000,0)</f>
        <v>724</v>
      </c>
      <c r="L10" s="17">
        <f t="shared" ref="L10:U10" si="8">K10*(1+L11)</f>
        <v>717.13279132791331</v>
      </c>
      <c r="M10" s="17">
        <f t="shared" si="8"/>
        <v>710.33071878144256</v>
      </c>
      <c r="N10" s="17">
        <f t="shared" si="8"/>
        <v>703.59316453825818</v>
      </c>
      <c r="O10" s="17">
        <f t="shared" si="8"/>
        <v>696.91951663613384</v>
      </c>
      <c r="P10" s="17">
        <f t="shared" si="8"/>
        <v>690.30916891736297</v>
      </c>
      <c r="Q10" s="17">
        <f t="shared" si="8"/>
        <v>683.76152097370232</v>
      </c>
      <c r="R10" s="17">
        <f t="shared" si="8"/>
        <v>677.27597809183794</v>
      </c>
      <c r="S10" s="17">
        <f t="shared" si="8"/>
        <v>670.85195119936793</v>
      </c>
      <c r="T10" s="17">
        <f t="shared" si="8"/>
        <v>664.48885681129809</v>
      </c>
      <c r="U10" s="17">
        <f t="shared" si="8"/>
        <v>658.18611697704455</v>
      </c>
      <c r="V10" s="70">
        <f>U10</f>
        <v>658.18611697704455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-3.9011703511053764E-3</v>
      </c>
      <c r="F11" s="42">
        <f t="shared" si="9"/>
        <v>-1.9582245430809442E-2</v>
      </c>
      <c r="G11" s="42">
        <f t="shared" si="9"/>
        <v>1.3315579227696439E-2</v>
      </c>
      <c r="H11" s="42">
        <f t="shared" si="9"/>
        <v>3.2851511169513792E-2</v>
      </c>
      <c r="I11" s="42">
        <f t="shared" si="9"/>
        <v>-3.9440203562341014E-2</v>
      </c>
      <c r="J11" s="42">
        <f t="shared" si="9"/>
        <v>-2.251655629139071E-2</v>
      </c>
      <c r="K11" s="58">
        <f t="shared" si="9"/>
        <v>-1.8970189701897011E-2</v>
      </c>
      <c r="L11" s="67">
        <f>K11/2</f>
        <v>-9.4850948509485056E-3</v>
      </c>
      <c r="M11" s="67">
        <f t="shared" ref="L11:U11" si="10">L11</f>
        <v>-9.4850948509485056E-3</v>
      </c>
      <c r="N11" s="67">
        <f t="shared" si="10"/>
        <v>-9.4850948509485056E-3</v>
      </c>
      <c r="O11" s="67">
        <f t="shared" si="10"/>
        <v>-9.4850948509485056E-3</v>
      </c>
      <c r="P11" s="67">
        <f t="shared" si="10"/>
        <v>-9.4850948509485056E-3</v>
      </c>
      <c r="Q11" s="67">
        <f t="shared" si="10"/>
        <v>-9.4850948509485056E-3</v>
      </c>
      <c r="R11" s="67">
        <f t="shared" si="10"/>
        <v>-9.4850948509485056E-3</v>
      </c>
      <c r="S11" s="67">
        <f t="shared" si="10"/>
        <v>-9.4850948509485056E-3</v>
      </c>
      <c r="T11" s="67">
        <f t="shared" si="10"/>
        <v>-9.4850948509485056E-3</v>
      </c>
      <c r="U11" s="67">
        <f t="shared" si="10"/>
        <v>-9.4850948509485056E-3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1.3563068920676202</v>
      </c>
      <c r="E13" s="53">
        <f t="shared" si="11"/>
        <v>8.9804177545691903</v>
      </c>
      <c r="F13" s="53">
        <f t="shared" si="11"/>
        <v>6.7749667110519312</v>
      </c>
      <c r="G13" s="53">
        <f t="shared" si="11"/>
        <v>7.1537450722733249</v>
      </c>
      <c r="H13" s="53">
        <f t="shared" si="11"/>
        <v>13.48473282442748</v>
      </c>
      <c r="I13" s="53">
        <f t="shared" si="11"/>
        <v>4.9841059602649009</v>
      </c>
      <c r="J13" s="53">
        <f t="shared" si="11"/>
        <v>7.1409214092140925</v>
      </c>
      <c r="K13" s="59">
        <f t="shared" si="11"/>
        <v>4.6395027624309391</v>
      </c>
      <c r="L13" s="53">
        <f t="shared" ref="L13:U13" si="12">L7/L10</f>
        <v>7.9704674922557341</v>
      </c>
      <c r="M13" s="53">
        <f t="shared" si="12"/>
        <v>8.4811185035195393</v>
      </c>
      <c r="N13" s="53">
        <f t="shared" si="12"/>
        <v>9.0244858461099735</v>
      </c>
      <c r="O13" s="53">
        <f t="shared" si="12"/>
        <v>9.6026655862481185</v>
      </c>
      <c r="P13" s="53">
        <f t="shared" si="12"/>
        <v>10.217888080689029</v>
      </c>
      <c r="Q13" s="53">
        <f t="shared" si="12"/>
        <v>10.872526580432481</v>
      </c>
      <c r="R13" s="53">
        <f t="shared" si="12"/>
        <v>11.569106385655321</v>
      </c>
      <c r="S13" s="53">
        <f t="shared" si="12"/>
        <v>12.31031458718096</v>
      </c>
      <c r="T13" s="53">
        <f t="shared" si="12"/>
        <v>13.099010432064265</v>
      </c>
      <c r="U13" s="53">
        <f t="shared" si="12"/>
        <v>13.938236353277542</v>
      </c>
      <c r="V13" s="71">
        <f>U13*(1+WACC!$B$13)/(WACC!$B$14-WACC!$B$13)</f>
        <v>405.76208197622202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7.5546749802801711</v>
      </c>
      <c r="M14" s="62">
        <f>M13/((1+WACC!$B$14)^(M3-$K$3))</f>
        <v>7.6193357470428813</v>
      </c>
      <c r="N14" s="62">
        <f>N13/((1+WACC!$B$14)^(N3-$K$3))</f>
        <v>7.6845499479068948</v>
      </c>
      <c r="O14" s="62">
        <f>O13/((1+WACC!$B$14)^(O3-$K$3))</f>
        <v>7.7503223197369229</v>
      </c>
      <c r="P14" s="62">
        <f>P13/((1+WACC!$B$14)^(P3-$K$3))</f>
        <v>7.8166576399407006</v>
      </c>
      <c r="Q14" s="62">
        <f>Q13/((1+WACC!$B$14)^(Q3-$K$3))</f>
        <v>7.8835607268159782</v>
      </c>
      <c r="R14" s="62">
        <f>R13/((1+WACC!$B$14)^(R3-$K$3))</f>
        <v>7.9510364399005162</v>
      </c>
      <c r="S14" s="62">
        <f>S13/((1+WACC!$B$14)^(S3-$K$3))</f>
        <v>8.0190896803250507</v>
      </c>
      <c r="T14" s="62">
        <f>T13/((1+WACC!$B$14)^(T3-$K$3))</f>
        <v>8.0877253911692968</v>
      </c>
      <c r="U14" s="62">
        <f>U13/((1+WACC!$B$14)^(U3-$K$3))</f>
        <v>8.1569485578209839</v>
      </c>
      <c r="V14" s="63">
        <f>V13/((1+WACC!$B$14)^(U3-$K$3))</f>
        <v>237.46048965628978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237.46048965628978</v>
      </c>
      <c r="L17" s="16">
        <f>C17/$C$19</f>
        <v>0.75149436603258524</v>
      </c>
      <c r="O17" s="18"/>
      <c r="U17" s="74"/>
    </row>
    <row r="18" spans="2:22" x14ac:dyDescent="0.25">
      <c r="B18" s="8" t="s">
        <v>26</v>
      </c>
      <c r="C18" s="32">
        <f>SUM(14:14)-V14</f>
        <v>78.523901430939418</v>
      </c>
      <c r="K18" s="3"/>
      <c r="L18" s="16">
        <f>C18/$C$19</f>
        <v>0.24850563396741476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315.9843910872292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6.2845303867403315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24.600828729281769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297.66809274468778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0.1079502044851917</v>
      </c>
    </row>
    <row r="3" spans="1:6" x14ac:dyDescent="0.25">
      <c r="A3" s="73" t="s">
        <v>34</v>
      </c>
      <c r="B3">
        <v>91839000000</v>
      </c>
      <c r="C3">
        <v>3359000000</v>
      </c>
      <c r="D3">
        <v>724000000</v>
      </c>
      <c r="E3">
        <v>4550000000</v>
      </c>
      <c r="F3">
        <v>5.2527918766896331E-2</v>
      </c>
    </row>
    <row r="4" spans="1:6" x14ac:dyDescent="0.25">
      <c r="A4" s="73" t="s">
        <v>35</v>
      </c>
      <c r="B4">
        <v>89747000000</v>
      </c>
      <c r="C4">
        <v>5291000000</v>
      </c>
      <c r="D4">
        <v>727000000</v>
      </c>
      <c r="E4">
        <v>5957000000</v>
      </c>
      <c r="F4">
        <v>3.5486109693146028E-2</v>
      </c>
    </row>
    <row r="5" spans="1:6" x14ac:dyDescent="0.25">
      <c r="A5" s="73" t="s">
        <v>36</v>
      </c>
      <c r="B5">
        <v>88425000000</v>
      </c>
      <c r="C5">
        <v>5920000000</v>
      </c>
      <c r="D5">
        <v>729559748</v>
      </c>
      <c r="E5">
        <v>7502000000</v>
      </c>
      <c r="F5">
        <v>-0.1146980136986301</v>
      </c>
    </row>
    <row r="6" spans="1:6" x14ac:dyDescent="0.25">
      <c r="A6" s="73" t="s">
        <v>37</v>
      </c>
      <c r="B6">
        <v>91146000000</v>
      </c>
      <c r="C6">
        <v>7069000000</v>
      </c>
      <c r="D6">
        <v>740000000</v>
      </c>
      <c r="E6">
        <v>8443000000</v>
      </c>
      <c r="F6">
        <v>-6.8917115003438334E-2</v>
      </c>
    </row>
    <row r="7" spans="1:6" x14ac:dyDescent="0.25">
      <c r="A7" s="73" t="s">
        <v>38</v>
      </c>
      <c r="B7">
        <v>93616000000</v>
      </c>
      <c r="C7">
        <v>5270000000</v>
      </c>
      <c r="D7">
        <v>738000000</v>
      </c>
      <c r="E7">
        <v>8645000000</v>
      </c>
      <c r="F7">
        <v>-0.2104560075685904</v>
      </c>
    </row>
    <row r="8" spans="1:6" x14ac:dyDescent="0.25">
      <c r="A8" s="73" t="s">
        <v>39</v>
      </c>
      <c r="B8">
        <v>97107000000</v>
      </c>
      <c r="C8">
        <v>2597000000</v>
      </c>
      <c r="D8">
        <v>737000000</v>
      </c>
      <c r="E8">
        <v>7922000000</v>
      </c>
      <c r="F8">
        <v>-0.2236981160974115</v>
      </c>
    </row>
    <row r="9" spans="1:6" x14ac:dyDescent="0.25">
      <c r="A9" s="73" t="s">
        <v>40</v>
      </c>
      <c r="B9">
        <v>102301000000</v>
      </c>
      <c r="C9">
        <v>562000000</v>
      </c>
      <c r="D9">
        <v>735000000</v>
      </c>
      <c r="E9">
        <v>8879000000</v>
      </c>
      <c r="F9">
        <v>6.443182842209616E-2</v>
      </c>
    </row>
    <row r="10" spans="1:6" x14ac:dyDescent="0.25">
      <c r="A10" s="73" t="s">
        <v>41</v>
      </c>
      <c r="B10">
        <v>99456000000</v>
      </c>
      <c r="C10">
        <v>960000000</v>
      </c>
      <c r="D10">
        <v>743000000</v>
      </c>
      <c r="E10">
        <v>5209000000</v>
      </c>
    </row>
    <row r="11" spans="1:6" x14ac:dyDescent="0.25">
      <c r="A11" s="73" t="s">
        <v>42</v>
      </c>
      <c r="B11">
        <v>101159000000</v>
      </c>
      <c r="C11">
        <v>3763000000</v>
      </c>
      <c r="D11">
        <v>755000000</v>
      </c>
      <c r="E11">
        <v>6078000000</v>
      </c>
    </row>
    <row r="12" spans="1:6" x14ac:dyDescent="0.25">
      <c r="A12" s="73" t="s">
        <v>43</v>
      </c>
      <c r="B12">
        <v>98925000000</v>
      </c>
      <c r="C12">
        <v>4939000000</v>
      </c>
      <c r="D12">
        <v>780000000</v>
      </c>
      <c r="E12">
        <v>7200000000</v>
      </c>
      <c r="F12">
        <v>-0.21818592934926959</v>
      </c>
    </row>
    <row r="13" spans="1:6" x14ac:dyDescent="0.25">
      <c r="A13" s="73" t="s">
        <v>44</v>
      </c>
      <c r="B13">
        <v>95399000000</v>
      </c>
      <c r="C13">
        <v>7511000000</v>
      </c>
      <c r="D13">
        <v>810000000</v>
      </c>
      <c r="E13">
        <v>10011000000</v>
      </c>
      <c r="F13">
        <v>5.3580729166666563E-2</v>
      </c>
    </row>
    <row r="14" spans="1:6" x14ac:dyDescent="0.25">
      <c r="A14" s="73" t="s">
        <v>45</v>
      </c>
      <c r="B14">
        <v>99317000000</v>
      </c>
      <c r="C14">
        <v>10537000000</v>
      </c>
      <c r="D14">
        <v>788000000</v>
      </c>
      <c r="E14">
        <v>23295000000</v>
      </c>
      <c r="F14">
        <v>0.17251511796269489</v>
      </c>
    </row>
    <row r="15" spans="1:6" x14ac:dyDescent="0.25">
      <c r="A15" s="73" t="s">
        <v>46</v>
      </c>
      <c r="B15">
        <v>96375000000</v>
      </c>
      <c r="C15">
        <v>10599000000</v>
      </c>
      <c r="D15">
        <v>786000000</v>
      </c>
      <c r="E15">
        <v>12546000000</v>
      </c>
      <c r="F15">
        <v>0.19551752958254509</v>
      </c>
    </row>
    <row r="16" spans="1:6" x14ac:dyDescent="0.25">
      <c r="A16" s="73" t="s">
        <v>47</v>
      </c>
      <c r="B16">
        <v>94917000000</v>
      </c>
      <c r="C16">
        <v>12293000000</v>
      </c>
      <c r="D16">
        <v>782000000</v>
      </c>
      <c r="E16">
        <v>15174000000</v>
      </c>
      <c r="F16">
        <v>-0.24290289633283099</v>
      </c>
    </row>
    <row r="17" spans="1:6" x14ac:dyDescent="0.25">
      <c r="A17" s="73" t="s">
        <v>48</v>
      </c>
      <c r="B17">
        <v>94224000000</v>
      </c>
      <c r="C17">
        <v>9325000000</v>
      </c>
      <c r="D17">
        <v>776000000</v>
      </c>
      <c r="E17">
        <v>15092000000</v>
      </c>
      <c r="F17">
        <v>-0.197779907165446</v>
      </c>
    </row>
    <row r="18" spans="1:6" x14ac:dyDescent="0.25">
      <c r="A18" s="73" t="s">
        <v>49</v>
      </c>
      <c r="B18">
        <v>92144000000</v>
      </c>
      <c r="C18">
        <v>6754000000</v>
      </c>
      <c r="D18">
        <v>771000000</v>
      </c>
      <c r="E18">
        <v>12065000000</v>
      </c>
      <c r="F18">
        <v>-4.9712853528278811E-2</v>
      </c>
    </row>
    <row r="19" spans="1:6" x14ac:dyDescent="0.25">
      <c r="A19" s="73" t="s">
        <v>50</v>
      </c>
      <c r="B19">
        <v>91506000000</v>
      </c>
      <c r="C19">
        <v>5444000000</v>
      </c>
      <c r="D19">
        <v>761000000</v>
      </c>
      <c r="E19">
        <v>11946000000</v>
      </c>
      <c r="F19">
        <v>-0.29070835117672228</v>
      </c>
    </row>
    <row r="20" spans="1:6" x14ac:dyDescent="0.25">
      <c r="A20" s="73" t="s">
        <v>51</v>
      </c>
      <c r="B20">
        <v>92143000000</v>
      </c>
      <c r="C20">
        <v>5386000000</v>
      </c>
      <c r="D20">
        <v>755000000</v>
      </c>
      <c r="E20">
        <v>12898000000</v>
      </c>
      <c r="F20">
        <v>-0.31377756098228959</v>
      </c>
    </row>
    <row r="21" spans="1:6" x14ac:dyDescent="0.25">
      <c r="A21" s="73" t="s">
        <v>52</v>
      </c>
      <c r="B21">
        <v>92154000000</v>
      </c>
      <c r="C21">
        <v>6704000000</v>
      </c>
      <c r="D21">
        <v>754000000</v>
      </c>
      <c r="E21">
        <v>10032000000</v>
      </c>
      <c r="F21">
        <v>1.8091523006585231E-2</v>
      </c>
    </row>
    <row r="22" spans="1:6" x14ac:dyDescent="0.25">
      <c r="A22" s="73" t="s">
        <v>53</v>
      </c>
      <c r="B22">
        <v>91963000000</v>
      </c>
      <c r="C22">
        <v>5872000000</v>
      </c>
      <c r="D22">
        <v>750000000</v>
      </c>
      <c r="E22">
        <v>9209000000</v>
      </c>
      <c r="F22">
        <v>-5.938007552708835E-2</v>
      </c>
    </row>
    <row r="23" spans="1:6" x14ac:dyDescent="0.25">
      <c r="A23" s="73" t="s">
        <v>54</v>
      </c>
      <c r="B23">
        <v>91601000000</v>
      </c>
      <c r="C23">
        <v>5088000000</v>
      </c>
      <c r="D23">
        <v>751000000</v>
      </c>
      <c r="E23">
        <v>9809000000</v>
      </c>
      <c r="F23">
        <v>-0.30352374949873601</v>
      </c>
    </row>
    <row r="24" spans="1:6" x14ac:dyDescent="0.25">
      <c r="A24" s="73" t="s">
        <v>55</v>
      </c>
      <c r="B24">
        <v>91173000000</v>
      </c>
      <c r="C24">
        <v>4630000000</v>
      </c>
      <c r="D24">
        <v>751000000</v>
      </c>
      <c r="E24">
        <v>9669000000</v>
      </c>
      <c r="F24">
        <v>-0.14394791744708749</v>
      </c>
    </row>
    <row r="25" spans="1:6" x14ac:dyDescent="0.25">
      <c r="A25" s="73" t="s">
        <v>56</v>
      </c>
      <c r="B25">
        <v>90621000000</v>
      </c>
      <c r="C25">
        <v>5423000000</v>
      </c>
      <c r="D25">
        <v>719000000</v>
      </c>
      <c r="E25">
        <v>10198000000</v>
      </c>
      <c r="F25">
        <v>5.7675536950079882E-2</v>
      </c>
    </row>
    <row r="26" spans="1:6" x14ac:dyDescent="0.25">
      <c r="A26" s="73" t="s">
        <v>57</v>
      </c>
      <c r="B26">
        <v>88715000000</v>
      </c>
      <c r="C26">
        <v>6120000000</v>
      </c>
      <c r="D26">
        <v>766000000</v>
      </c>
      <c r="E26">
        <v>17474000000</v>
      </c>
    </row>
    <row r="27" spans="1:6" x14ac:dyDescent="0.25">
      <c r="A27" s="73" t="s">
        <v>58</v>
      </c>
      <c r="B27">
        <v>85789000000</v>
      </c>
      <c r="C27">
        <v>6879000000</v>
      </c>
      <c r="D27">
        <v>766000000</v>
      </c>
      <c r="E27">
        <v>17816000000</v>
      </c>
    </row>
    <row r="28" spans="1:6" x14ac:dyDescent="0.25">
      <c r="A28" s="73" t="s">
        <v>59</v>
      </c>
      <c r="B28">
        <v>82368000000</v>
      </c>
      <c r="C28">
        <v>5924000000</v>
      </c>
      <c r="D28">
        <v>767000000</v>
      </c>
      <c r="E28">
        <v>17726000000</v>
      </c>
      <c r="F28">
        <v>-0.108228032</v>
      </c>
    </row>
    <row r="29" spans="1:6" x14ac:dyDescent="0.25">
      <c r="A29" s="73" t="s">
        <v>60</v>
      </c>
      <c r="B29">
        <v>79012000000</v>
      </c>
      <c r="C29">
        <v>5074000000</v>
      </c>
      <c r="D29">
        <v>767000000</v>
      </c>
      <c r="E29">
        <v>16129000000</v>
      </c>
      <c r="F29">
        <v>0.26242518063166292</v>
      </c>
    </row>
    <row r="30" spans="1:6" x14ac:dyDescent="0.25">
      <c r="A30" s="73" t="s">
        <v>61</v>
      </c>
      <c r="B30">
        <v>77151000000</v>
      </c>
      <c r="C30">
        <v>2673000000</v>
      </c>
      <c r="D30">
        <v>769000000</v>
      </c>
      <c r="E30">
        <v>13714000000</v>
      </c>
      <c r="F30">
        <v>0.12008028829937829</v>
      </c>
    </row>
    <row r="31" spans="1:6" x14ac:dyDescent="0.25">
      <c r="A31" s="73" t="s">
        <v>62</v>
      </c>
      <c r="B31">
        <v>73842000000</v>
      </c>
      <c r="C31">
        <v>1043000000</v>
      </c>
      <c r="D31">
        <v>769000000</v>
      </c>
      <c r="E31">
        <v>11228000000</v>
      </c>
      <c r="F31">
        <v>0.42697368417431192</v>
      </c>
    </row>
    <row r="32" spans="1:6" x14ac:dyDescent="0.25">
      <c r="A32" s="73" t="s">
        <v>63</v>
      </c>
      <c r="B32">
        <v>67401000000</v>
      </c>
      <c r="C32">
        <v>1462000000</v>
      </c>
      <c r="D32">
        <v>773000000</v>
      </c>
      <c r="E32">
        <v>11174000000</v>
      </c>
    </row>
    <row r="33" spans="1:5" x14ac:dyDescent="0.25">
      <c r="A33" s="73" t="s">
        <v>64</v>
      </c>
      <c r="D33">
        <v>781000000</v>
      </c>
      <c r="E33">
        <v>11449000000</v>
      </c>
    </row>
    <row r="34" spans="1:5" x14ac:dyDescent="0.25">
      <c r="A34" s="73" t="s">
        <v>65</v>
      </c>
      <c r="D34">
        <v>719000000</v>
      </c>
      <c r="E34">
        <v>10679000000</v>
      </c>
    </row>
    <row r="35" spans="1:5" x14ac:dyDescent="0.25">
      <c r="A35" s="73" t="s">
        <v>66</v>
      </c>
      <c r="D35">
        <v>787000000</v>
      </c>
      <c r="E35">
        <v>7226000000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67</v>
      </c>
      <c r="B1" s="27" t="s">
        <v>68</v>
      </c>
      <c r="C1" t="s">
        <v>69</v>
      </c>
      <c r="D1" t="s">
        <v>70</v>
      </c>
      <c r="F1" s="27" t="s">
        <v>68</v>
      </c>
      <c r="G1" t="s">
        <v>69</v>
      </c>
      <c r="H1" t="s">
        <v>70</v>
      </c>
      <c r="J1" t="s">
        <v>71</v>
      </c>
      <c r="K1" t="s">
        <v>69</v>
      </c>
      <c r="L1" t="s">
        <v>70</v>
      </c>
      <c r="N1" t="s">
        <v>72</v>
      </c>
      <c r="O1" t="s">
        <v>69</v>
      </c>
      <c r="P1" t="s">
        <v>70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73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74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75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76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77</v>
      </c>
    </row>
    <row r="7" spans="1:46" x14ac:dyDescent="0.25">
      <c r="A7" s="27" t="s">
        <v>78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79</v>
      </c>
    </row>
    <row r="8" spans="1:46" x14ac:dyDescent="0.25">
      <c r="A8" s="27" t="s">
        <v>80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81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82</v>
      </c>
    </row>
    <row r="10" spans="1:46" x14ac:dyDescent="0.25">
      <c r="A10" s="27" t="s">
        <v>83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84</v>
      </c>
    </row>
    <row r="11" spans="1:46" x14ac:dyDescent="0.25">
      <c r="A11" s="27" t="s">
        <v>85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86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87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88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89</v>
      </c>
    </row>
    <row r="15" spans="1:46" x14ac:dyDescent="0.25">
      <c r="A15" s="27" t="s">
        <v>90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47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91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92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50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93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52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94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95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96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97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98</v>
      </c>
      <c r="J26">
        <v>0.61799999999999999</v>
      </c>
      <c r="N26">
        <v>-0.36399999999999999</v>
      </c>
    </row>
    <row r="27" spans="1:17" x14ac:dyDescent="0.25">
      <c r="A27" s="27" t="s">
        <v>99</v>
      </c>
    </row>
    <row r="28" spans="1:17" x14ac:dyDescent="0.25">
      <c r="A28" s="27" t="s">
        <v>100</v>
      </c>
    </row>
    <row r="29" spans="1:17" x14ac:dyDescent="0.25">
      <c r="A29" s="27" t="s">
        <v>101</v>
      </c>
    </row>
    <row r="31" spans="1:17" x14ac:dyDescent="0.25">
      <c r="A31" s="26" t="s">
        <v>102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103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104</v>
      </c>
      <c r="C1" s="73" t="s">
        <v>105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106</v>
      </c>
      <c r="D2">
        <v>0.87203078920407995</v>
      </c>
      <c r="E2">
        <v>0.10113557270958699</v>
      </c>
    </row>
    <row r="3" spans="1:5" x14ac:dyDescent="0.25">
      <c r="A3" s="73">
        <v>1</v>
      </c>
      <c r="B3">
        <v>3</v>
      </c>
      <c r="C3" t="s">
        <v>107</v>
      </c>
      <c r="D3">
        <v>1.4943321479612599</v>
      </c>
      <c r="E3">
        <v>0.14424238811556381</v>
      </c>
    </row>
    <row r="4" spans="1:5" x14ac:dyDescent="0.25">
      <c r="A4" s="73">
        <v>2</v>
      </c>
      <c r="B4">
        <v>3</v>
      </c>
      <c r="C4" t="s">
        <v>108</v>
      </c>
      <c r="D4">
        <v>1.2930380115749249</v>
      </c>
      <c r="E4">
        <v>0.13029874319593721</v>
      </c>
    </row>
    <row r="5" spans="1:5" x14ac:dyDescent="0.25">
      <c r="A5" s="73">
        <v>3</v>
      </c>
      <c r="B5">
        <v>5</v>
      </c>
      <c r="C5" t="s">
        <v>106</v>
      </c>
      <c r="D5">
        <v>0.89503760935626575</v>
      </c>
      <c r="E5">
        <v>0.10272925515206061</v>
      </c>
    </row>
    <row r="6" spans="1:5" x14ac:dyDescent="0.25">
      <c r="A6" s="73">
        <v>4</v>
      </c>
      <c r="B6">
        <v>5</v>
      </c>
      <c r="C6" t="s">
        <v>107</v>
      </c>
      <c r="D6">
        <v>1.3465272734366149</v>
      </c>
      <c r="E6">
        <v>0.13400394438958191</v>
      </c>
    </row>
    <row r="7" spans="1:5" x14ac:dyDescent="0.25">
      <c r="A7" s="73">
        <v>5</v>
      </c>
      <c r="B7">
        <v>5</v>
      </c>
      <c r="C7" t="s">
        <v>108</v>
      </c>
      <c r="D7">
        <v>1.15995022602728</v>
      </c>
      <c r="E7">
        <v>0.1210797522301291</v>
      </c>
    </row>
    <row r="8" spans="1:5" x14ac:dyDescent="0.25">
      <c r="A8" s="73">
        <v>6</v>
      </c>
      <c r="B8" t="s">
        <v>102</v>
      </c>
      <c r="D8">
        <v>1.176819342926738</v>
      </c>
      <c r="E8">
        <v>0.1222482759654766</v>
      </c>
    </row>
    <row r="9" spans="1:5" x14ac:dyDescent="0.25">
      <c r="A9" s="73">
        <v>7</v>
      </c>
      <c r="B9" t="s">
        <v>103</v>
      </c>
      <c r="D9">
        <v>1.2264941188011029</v>
      </c>
      <c r="E9">
        <v>0.12568924771303319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2024-10-18T20:51:36Z</dcterms:modified>
</cp:coreProperties>
</file>