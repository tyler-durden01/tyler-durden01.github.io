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43" documentId="11_AC93DB3C83C388BF574DDB2418B9DD5FDB28BA6C" xr6:coauthVersionLast="47" xr6:coauthVersionMax="47" xr10:uidLastSave="{464DB939-5A57-49B0-ACA6-544F88F93E57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3" l="1"/>
  <c r="S8" i="3"/>
  <c r="T8" i="3" s="1"/>
  <c r="U8" i="3" s="1"/>
  <c r="R8" i="3"/>
  <c r="N5" i="3"/>
  <c r="O5" i="3" s="1"/>
  <c r="P5" i="3" s="1"/>
  <c r="Q5" i="3" s="1"/>
  <c r="R5" i="3" s="1"/>
  <c r="S5" i="3" s="1"/>
  <c r="T5" i="3" s="1"/>
  <c r="U5" i="3" s="1"/>
  <c r="P8" i="3"/>
  <c r="Q8" i="3"/>
  <c r="O8" i="3"/>
  <c r="G31" i="5" l="1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2" i="5" s="1"/>
  <c r="L3" i="5"/>
  <c r="K3" i="5"/>
  <c r="K32" i="5" s="1"/>
  <c r="H3" i="5"/>
  <c r="G3" i="5"/>
  <c r="D3" i="5"/>
  <c r="C3" i="5"/>
  <c r="R2" i="5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G10" i="3"/>
  <c r="G11" i="3" s="1"/>
  <c r="F10" i="3"/>
  <c r="H4" i="3"/>
  <c r="H5" i="3" s="1"/>
  <c r="G4" i="3"/>
  <c r="J3" i="3"/>
  <c r="I3" i="3"/>
  <c r="K1" i="3"/>
  <c r="L1" i="3" s="1"/>
  <c r="J1" i="3"/>
  <c r="J7" i="3" s="1"/>
  <c r="I1" i="3"/>
  <c r="I7" i="3" s="1"/>
  <c r="H1" i="3"/>
  <c r="H3" i="3" s="1"/>
  <c r="G1" i="3"/>
  <c r="G3" i="3" s="1"/>
  <c r="F1" i="3"/>
  <c r="F4" i="3" s="1"/>
  <c r="E1" i="3"/>
  <c r="E10" i="3" s="1"/>
  <c r="E11" i="3" s="1"/>
  <c r="D1" i="3"/>
  <c r="D10" i="3" s="1"/>
  <c r="L3" i="3" l="1"/>
  <c r="M1" i="3"/>
  <c r="G5" i="3"/>
  <c r="S2" i="5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J8" i="3"/>
  <c r="J13" i="3"/>
  <c r="F11" i="3"/>
  <c r="S3" i="5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K3" i="3"/>
  <c r="I4" i="3"/>
  <c r="I5" i="3" s="1"/>
  <c r="E7" i="3"/>
  <c r="H10" i="3"/>
  <c r="H11" i="3" s="1"/>
  <c r="K31" i="5"/>
  <c r="D3" i="3"/>
  <c r="J4" i="3"/>
  <c r="J5" i="3" s="1"/>
  <c r="F7" i="3"/>
  <c r="I10" i="3"/>
  <c r="I13" i="3" s="1"/>
  <c r="O31" i="5"/>
  <c r="D7" i="3"/>
  <c r="E3" i="3"/>
  <c r="K4" i="3"/>
  <c r="G7" i="3"/>
  <c r="J10" i="3"/>
  <c r="F3" i="3"/>
  <c r="D4" i="3"/>
  <c r="H7" i="3"/>
  <c r="K10" i="3"/>
  <c r="K7" i="3"/>
  <c r="E4" i="3"/>
  <c r="E5" i="3" s="1"/>
  <c r="K8" i="3" l="1"/>
  <c r="K13" i="3"/>
  <c r="G8" i="3"/>
  <c r="G13" i="3"/>
  <c r="K11" i="3"/>
  <c r="L11" i="3" s="1"/>
  <c r="N11" i="3" s="1"/>
  <c r="O11" i="3" s="1"/>
  <c r="P11" i="3" s="1"/>
  <c r="Q11" i="3" s="1"/>
  <c r="R11" i="3" s="1"/>
  <c r="S11" i="3" s="1"/>
  <c r="T11" i="3" s="1"/>
  <c r="U11" i="3" s="1"/>
  <c r="C21" i="3"/>
  <c r="C20" i="3"/>
  <c r="D8" i="3"/>
  <c r="D13" i="3"/>
  <c r="E8" i="3"/>
  <c r="E13" i="3"/>
  <c r="I8" i="3"/>
  <c r="H13" i="3"/>
  <c r="H8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I11" i="3"/>
  <c r="F8" i="3"/>
  <c r="F13" i="3"/>
  <c r="F5" i="3"/>
  <c r="J11" i="3"/>
  <c r="M3" i="3"/>
  <c r="N1" i="3"/>
  <c r="L10" i="3" l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N3" i="3"/>
  <c r="O1" i="3"/>
  <c r="L7" i="3" l="1"/>
  <c r="L13" i="3" s="1"/>
  <c r="L14" i="3" s="1"/>
  <c r="O3" i="3"/>
  <c r="P1" i="3"/>
  <c r="P3" i="3" l="1"/>
  <c r="Q1" i="3"/>
  <c r="M7" i="3"/>
  <c r="M13" i="3" s="1"/>
  <c r="M14" i="3" s="1"/>
  <c r="R1" i="3" l="1"/>
  <c r="Q3" i="3"/>
  <c r="N7" i="3"/>
  <c r="N13" i="3" s="1"/>
  <c r="N14" i="3" s="1"/>
  <c r="O7" i="3" l="1"/>
  <c r="O13" i="3" s="1"/>
  <c r="O14" i="3" s="1"/>
  <c r="R3" i="3"/>
  <c r="S1" i="3"/>
  <c r="P7" i="3" l="1"/>
  <c r="P13" i="3" s="1"/>
  <c r="P14" i="3" s="1"/>
  <c r="T1" i="3"/>
  <c r="S3" i="3"/>
  <c r="Q7" i="3" l="1"/>
  <c r="Q13" i="3" s="1"/>
  <c r="Q14" i="3" s="1"/>
  <c r="T3" i="3"/>
  <c r="U1" i="3"/>
  <c r="U3" i="3" s="1"/>
  <c r="R7" i="3" l="1"/>
  <c r="R13" i="3" s="1"/>
  <c r="R14" i="3" s="1"/>
  <c r="S7" i="3" l="1"/>
  <c r="S13" i="3" s="1"/>
  <c r="S14" i="3" s="1"/>
  <c r="U7" i="3" l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7" i="3" l="1"/>
  <c r="L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<sst xmlns="http://schemas.openxmlformats.org/spreadsheetml/2006/main" count="120" uniqueCount="102">
  <si>
    <t>This sheet contains FactSet XML data for use with this workbook's =FDS codes.  Modifying the worksheet's contents may damage the workbook's =FDS functionality.</t>
  </si>
  <si>
    <t>CURI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</si>
  <si>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</si>
  <si>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</si>
  <si>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</si>
  <si>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</si>
  <si>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</si>
  <si>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</si>
  <si>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</si>
  <si>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</si>
  <si>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</si>
  <si>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</si>
  <si>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</si>
  <si>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</si>
  <si>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</si>
  <si>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</si>
  <si>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</si>
  <si>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</si>
  <si>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</si>
  <si>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</si>
  <si>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</si>
  <si>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</si>
  <si>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</si>
  <si>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</si>
  <si>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</si>
  <si>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</si>
  <si>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</si>
  <si>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</si>
  <si>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</si>
  <si>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</si>
  <si>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</si>
  <si>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</si>
  <si>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</si>
  <si>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</si>
  <si>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</si>
  <si>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</si>
  <si>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</si>
  <si>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</si>
  <si>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</si>
  <si>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</si>
  <si>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</si>
  <si>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</si>
  <si>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</si>
  <si>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</si>
  <si>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</si>
  <si>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</si>
  <si>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</si>
  <si>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</si>
  <si>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</si>
  <si>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</si>
  <si>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</si>
  <si>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</si>
  <si>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</si>
  <si>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</si>
  <si>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</si>
  <si>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</si>
  <si>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</si>
  <si>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</si>
  <si>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</si>
  <si>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</si>
  <si>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</si>
  <si>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</si>
  <si>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</si>
  <si>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</si>
  <si>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</si>
  <si>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</si>
  <si>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</si>
  <si>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</si>
  <si>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</si>
  <si>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</si>
  <si>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</si>
  <si>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</si>
  <si>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</si>
  <si>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</si>
  <si>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</si>
  <si>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</si>
  <si>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</si>
  <si>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</si>
  <si>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</si>
  <si>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</si>
  <si>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</si>
  <si>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</si>
  <si>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</si>
  <si>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</si>
  <si>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</si>
  <si>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</si>
  <si>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</si>
  <si>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</si>
  <si>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</si>
  <si>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</si>
  <si>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</si>
  <si>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</si>
  <si>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</si>
  <si>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</si>
  <si>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</si>
  <si>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</si>
  <si>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</si>
  <si>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</si>
  <si>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</si>
  <si>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</si>
  <si>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</si>
  <si>
    <t>Market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</si>
</sst>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  <numFmt numFmtId="172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5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0" fontId="16" fillId="0" borderId="17" xfId="0" applyFont="1" applyBorder="1" applyAlignment="1">
      <alignment horizontal="center" vertical="top"/>
    </xf>
    <xf numFmtId="39" fontId="5" fillId="0" borderId="2" xfId="0" applyNumberFormat="1" applyFont="1" applyBorder="1"/>
    <xf numFmtId="172" fontId="1" fillId="0" borderId="0" xfId="3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26053000</v>
      </c>
    </row>
    <row r="3" spans="1:2" x14ac:dyDescent="0.25">
      <c r="A3" s="72" t="s">
        <v>3</v>
      </c>
      <c r="B3">
        <v>4090000</v>
      </c>
    </row>
    <row r="4" spans="1:2" x14ac:dyDescent="0.25">
      <c r="A4" s="72" t="s">
        <v>4</v>
      </c>
      <c r="B4">
        <v>5.9349333952462488E-2</v>
      </c>
    </row>
    <row r="5" spans="1:2" x14ac:dyDescent="0.25">
      <c r="A5" s="72" t="s">
        <v>5</v>
      </c>
      <c r="B5">
        <v>4.2500000000000003E-2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64824000</v>
      </c>
    </row>
    <row r="8" spans="1:2" x14ac:dyDescent="0.25">
      <c r="A8" s="72" t="s">
        <v>8</v>
      </c>
      <c r="B8">
        <v>0.94065066604753755</v>
      </c>
    </row>
    <row r="9" spans="1:2" x14ac:dyDescent="0.25">
      <c r="A9" s="72" t="s">
        <v>9</v>
      </c>
      <c r="B9">
        <v>0.13219637702753809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1.3204327541627781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0.126343263987479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4"/>
  <sheetViews>
    <sheetView showGridLines="0" tabSelected="1" topLeftCell="A2" zoomScale="85" zoomScaleNormal="85" workbookViewId="0">
      <selection activeCell="C24" sqref="C24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30.997</v>
      </c>
      <c r="H4" s="36">
        <f>IFERROR(INDEX(Python!$1:$1048576,MATCH(DCF_Simple!H$1,Python!$A:$A,0),MATCH(DCF_Simple!$B4,Python!$1:$1,0))/1000000,0)</f>
        <v>45.384999999999998</v>
      </c>
      <c r="I4" s="36">
        <f>IFERROR(INDEX(Python!$1:$1048576,MATCH(DCF_Simple!I$1,Python!$A:$A,0),MATCH(DCF_Simple!$B4,Python!$1:$1,0))/1000000,0)</f>
        <v>85.956000000000003</v>
      </c>
      <c r="J4" s="36">
        <f>IFERROR(INDEX(Python!$1:$1048576,MATCH(DCF_Simple!J$1,Python!$A:$A,0),MATCH(DCF_Simple!$B4,Python!$1:$1,0))/1000000,0)</f>
        <v>64.552000000000007</v>
      </c>
      <c r="K4" s="55">
        <f>IFERROR(INDEX(Python!$1:$1048576,MATCH(DCF_Simple!K$1,Python!$A:$A,0),MATCH(DCF_Simple!$B4,Python!$1:$1,0))/1000000,0)</f>
        <v>54.801000000000002</v>
      </c>
      <c r="L4" s="37">
        <f t="shared" ref="L4:U4" si="2">K4*(1+L5)</f>
        <v>54.526994999999999</v>
      </c>
      <c r="M4" s="36">
        <f t="shared" si="2"/>
        <v>58.889154600000005</v>
      </c>
      <c r="N4" s="36">
        <f t="shared" si="2"/>
        <v>63.600286968000006</v>
      </c>
      <c r="O4" s="36">
        <f t="shared" si="2"/>
        <v>68.688309925440009</v>
      </c>
      <c r="P4" s="36">
        <f t="shared" si="2"/>
        <v>74.183374719475211</v>
      </c>
      <c r="Q4" s="36">
        <f t="shared" si="2"/>
        <v>80.118044697033227</v>
      </c>
      <c r="R4" s="36">
        <f t="shared" si="2"/>
        <v>86.527488272795892</v>
      </c>
      <c r="S4" s="36">
        <f t="shared" si="2"/>
        <v>93.449687334619568</v>
      </c>
      <c r="T4" s="36">
        <f t="shared" si="2"/>
        <v>100.92566232138914</v>
      </c>
      <c r="U4" s="36">
        <f t="shared" si="2"/>
        <v>108.99971530710027</v>
      </c>
      <c r="V4" s="19">
        <f>U4</f>
        <v>108.99971530710027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>
        <f t="shared" si="3"/>
        <v>0.46417395231796621</v>
      </c>
      <c r="I5" s="42">
        <f t="shared" si="3"/>
        <v>0.89392971246006403</v>
      </c>
      <c r="J5" s="42">
        <f t="shared" si="3"/>
        <v>-0.24901112196937958</v>
      </c>
      <c r="K5" s="58">
        <f t="shared" si="3"/>
        <v>-0.1510565125790061</v>
      </c>
      <c r="L5" s="43">
        <v>-5.0000000000000001E-3</v>
      </c>
      <c r="M5" s="43">
        <v>0.08</v>
      </c>
      <c r="N5" s="38">
        <f>M5</f>
        <v>0.08</v>
      </c>
      <c r="O5" s="38">
        <f t="shared" ref="O5:U5" si="4">N5</f>
        <v>0.08</v>
      </c>
      <c r="P5" s="38">
        <f t="shared" si="4"/>
        <v>0.08</v>
      </c>
      <c r="Q5" s="38">
        <f t="shared" si="4"/>
        <v>0.08</v>
      </c>
      <c r="R5" s="38">
        <f t="shared" si="4"/>
        <v>0.08</v>
      </c>
      <c r="S5" s="38">
        <f t="shared" si="4"/>
        <v>0.08</v>
      </c>
      <c r="T5" s="38">
        <f t="shared" si="4"/>
        <v>0.08</v>
      </c>
      <c r="U5" s="38">
        <f t="shared" si="4"/>
        <v>0.08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-50.055999999999997</v>
      </c>
      <c r="H7" s="52">
        <f>IFERROR(INDEX(Python!$1:$1048576,MATCH(DCF_Simple!H$1,Python!$A:$A,0),MATCH(DCF_Simple!$B7,Python!$1:$1,0))/1000000,0)</f>
        <v>-48.674999999999997</v>
      </c>
      <c r="I7" s="52">
        <f>IFERROR(INDEX(Python!$1:$1048576,MATCH(DCF_Simple!I$1,Python!$A:$A,0),MATCH(DCF_Simple!$B7,Python!$1:$1,0))/1000000,0)</f>
        <v>-68.331000000000003</v>
      </c>
      <c r="J7" s="52">
        <f>IFERROR(INDEX(Python!$1:$1048576,MATCH(DCF_Simple!J$1,Python!$A:$A,0),MATCH(DCF_Simple!$B7,Python!$1:$1,0))/1000000,0)</f>
        <v>-31.876999999999999</v>
      </c>
      <c r="K7" s="57">
        <f>IFERROR(INDEX(Python!$1:$1048576,MATCH(DCF_Simple!K$1,Python!$A:$A,0),MATCH(DCF_Simple!$B7,Python!$1:$1,0))/1000000,0)</f>
        <v>-2.7080000000000002</v>
      </c>
      <c r="L7" s="64">
        <f t="shared" ref="L7:U7" si="5">L8*L4</f>
        <v>0</v>
      </c>
      <c r="M7" s="64">
        <f t="shared" si="5"/>
        <v>2.9444577300000003</v>
      </c>
      <c r="N7" s="64">
        <f t="shared" si="5"/>
        <v>6.3600286968000006</v>
      </c>
      <c r="O7" s="64">
        <f t="shared" si="5"/>
        <v>8.9294802903072021</v>
      </c>
      <c r="P7" s="64">
        <f t="shared" si="5"/>
        <v>11.869339955116034</v>
      </c>
      <c r="Q7" s="64">
        <f t="shared" si="5"/>
        <v>15.222428492436313</v>
      </c>
      <c r="R7" s="64">
        <f t="shared" si="5"/>
        <v>17.305497654559179</v>
      </c>
      <c r="S7" s="64">
        <f t="shared" si="5"/>
        <v>19.62443434027011</v>
      </c>
      <c r="T7" s="64">
        <f t="shared" si="5"/>
        <v>22.203645710705615</v>
      </c>
      <c r="U7" s="64">
        <f t="shared" si="5"/>
        <v>25.069934520633065</v>
      </c>
      <c r="V7" s="65">
        <f>U7</f>
        <v>25.069934520633065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>
        <f t="shared" si="6"/>
        <v>-1.6148659547698163</v>
      </c>
      <c r="H8" s="42">
        <f t="shared" si="6"/>
        <v>-1.0724909110939738</v>
      </c>
      <c r="I8" s="42">
        <f t="shared" si="6"/>
        <v>-0.79495323188608125</v>
      </c>
      <c r="J8" s="42">
        <f t="shared" si="6"/>
        <v>-0.49381893667121074</v>
      </c>
      <c r="K8" s="58">
        <f t="shared" si="6"/>
        <v>-4.9415156657725223E-2</v>
      </c>
      <c r="L8" s="38">
        <v>0</v>
      </c>
      <c r="M8" s="38">
        <v>0.05</v>
      </c>
      <c r="N8" s="38">
        <v>0.1</v>
      </c>
      <c r="O8" s="38">
        <f>N8+0.03</f>
        <v>0.13</v>
      </c>
      <c r="P8" s="38">
        <f t="shared" ref="P8:U8" si="7">O8+0.03</f>
        <v>0.16</v>
      </c>
      <c r="Q8" s="38">
        <f t="shared" si="7"/>
        <v>0.19</v>
      </c>
      <c r="R8" s="38">
        <f>Q8+0.01</f>
        <v>0.2</v>
      </c>
      <c r="S8" s="38">
        <f t="shared" ref="S8:U8" si="8">R8+0.01</f>
        <v>0.21000000000000002</v>
      </c>
      <c r="T8" s="38">
        <f t="shared" si="8"/>
        <v>0.22000000000000003</v>
      </c>
      <c r="U8" s="38">
        <f t="shared" si="8"/>
        <v>0.23000000000000004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20</v>
      </c>
      <c r="G10" s="17">
        <f>IFERROR(INDEX(Python!$1:$1048576,MATCH(DCF_Simple!G$1,Python!$A:$A,0),MATCH(DCF_Simple!$B10,Python!$1:$1,0))/1000000,0)</f>
        <v>13.164675000000001</v>
      </c>
      <c r="H10" s="17">
        <f>IFERROR(INDEX(Python!$1:$1048576,MATCH(DCF_Simple!H$1,Python!$A:$A,0),MATCH(DCF_Simple!$B10,Python!$1:$1,0))/1000000,0)</f>
        <v>52.968000000000004</v>
      </c>
      <c r="I10" s="17">
        <f>IFERROR(INDEX(Python!$1:$1048576,MATCH(DCF_Simple!I$1,Python!$A:$A,0),MATCH(DCF_Simple!$B10,Python!$1:$1,0))/1000000,0)</f>
        <v>52.774999999999999</v>
      </c>
      <c r="J10" s="17">
        <f>IFERROR(INDEX(Python!$1:$1048576,MATCH(DCF_Simple!J$1,Python!$A:$A,0),MATCH(DCF_Simple!$B10,Python!$1:$1,0))/1000000,0)</f>
        <v>53.006</v>
      </c>
      <c r="K10" s="69">
        <f>IFERROR(INDEX(Python!$1:$1048576,MATCH(DCF_Simple!K$1,Python!$A:$A,0),MATCH(DCF_Simple!$B10,Python!$1:$1,0))/1000000,0)</f>
        <v>53.613</v>
      </c>
      <c r="L10" s="17">
        <f t="shared" ref="L10:U10" si="9">K10*(1+L11)</f>
        <v>54.226951081009695</v>
      </c>
      <c r="M10" s="17">
        <f t="shared" si="9"/>
        <v>54.226951081009695</v>
      </c>
      <c r="N10" s="17">
        <f t="shared" si="9"/>
        <v>54.226951081009695</v>
      </c>
      <c r="O10" s="17">
        <f t="shared" si="9"/>
        <v>54.226951081009695</v>
      </c>
      <c r="P10" s="17">
        <f t="shared" si="9"/>
        <v>54.226951081009695</v>
      </c>
      <c r="Q10" s="17">
        <f t="shared" si="9"/>
        <v>54.226951081009695</v>
      </c>
      <c r="R10" s="17">
        <f t="shared" si="9"/>
        <v>54.226951081009695</v>
      </c>
      <c r="S10" s="17">
        <f t="shared" si="9"/>
        <v>54.226951081009695</v>
      </c>
      <c r="T10" s="17">
        <f t="shared" si="9"/>
        <v>54.226951081009695</v>
      </c>
      <c r="U10" s="17">
        <f t="shared" si="9"/>
        <v>54.226951081009695</v>
      </c>
      <c r="V10" s="70">
        <f>U10</f>
        <v>54.226951081009695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10">IFERROR(E10/D10-1,"")</f>
        <v/>
      </c>
      <c r="F11" s="42" t="str">
        <f t="shared" si="10"/>
        <v/>
      </c>
      <c r="G11" s="42">
        <f t="shared" si="10"/>
        <v>-0.34176624999999994</v>
      </c>
      <c r="H11" s="42">
        <f t="shared" si="10"/>
        <v>3.0234946931846016</v>
      </c>
      <c r="I11" s="42">
        <f t="shared" si="10"/>
        <v>-3.6437094094549094E-3</v>
      </c>
      <c r="J11" s="42">
        <f t="shared" si="10"/>
        <v>4.3770724774987446E-3</v>
      </c>
      <c r="K11" s="58">
        <f t="shared" si="10"/>
        <v>1.1451533788627621E-2</v>
      </c>
      <c r="L11" s="67">
        <f t="shared" ref="L11:U11" si="11">K11</f>
        <v>1.1451533788627621E-2</v>
      </c>
      <c r="M11" s="67"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7">
        <f t="shared" si="11"/>
        <v>0</v>
      </c>
      <c r="S11" s="67">
        <f t="shared" si="11"/>
        <v>0</v>
      </c>
      <c r="T11" s="67">
        <f t="shared" si="11"/>
        <v>0</v>
      </c>
      <c r="U11" s="67">
        <f t="shared" si="11"/>
        <v>0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2">IFERROR(D7/D10,0)</f>
        <v>0</v>
      </c>
      <c r="E13" s="53">
        <f t="shared" si="12"/>
        <v>0</v>
      </c>
      <c r="F13" s="53">
        <f t="shared" si="12"/>
        <v>0</v>
      </c>
      <c r="G13" s="53">
        <f t="shared" si="12"/>
        <v>-3.8022966765225874</v>
      </c>
      <c r="H13" s="53">
        <f t="shared" si="12"/>
        <v>-0.9189510647938377</v>
      </c>
      <c r="I13" s="53">
        <f t="shared" si="12"/>
        <v>-1.2947607768829938</v>
      </c>
      <c r="J13" s="53">
        <f t="shared" si="12"/>
        <v>-0.6013847488963513</v>
      </c>
      <c r="K13" s="59">
        <f t="shared" si="12"/>
        <v>-5.0510137466659208E-2</v>
      </c>
      <c r="L13" s="53">
        <f t="shared" ref="L13:U13" si="13">L7/L10</f>
        <v>0</v>
      </c>
      <c r="M13" s="53">
        <f t="shared" si="13"/>
        <v>5.4298788172716404E-2</v>
      </c>
      <c r="N13" s="53">
        <f t="shared" si="13"/>
        <v>0.11728538245306744</v>
      </c>
      <c r="O13" s="53">
        <f t="shared" si="13"/>
        <v>0.1646686769641067</v>
      </c>
      <c r="P13" s="53">
        <f t="shared" si="13"/>
        <v>0.21888267214921259</v>
      </c>
      <c r="Q13" s="53">
        <f t="shared" si="13"/>
        <v>0.28071702703136514</v>
      </c>
      <c r="R13" s="53">
        <f t="shared" si="13"/>
        <v>0.31913093599355197</v>
      </c>
      <c r="S13" s="53">
        <f t="shared" si="13"/>
        <v>0.36189448141668795</v>
      </c>
      <c r="T13" s="53">
        <f t="shared" si="13"/>
        <v>0.40945775611716706</v>
      </c>
      <c r="U13" s="53">
        <f t="shared" si="13"/>
        <v>0.46231503008865582</v>
      </c>
      <c r="V13" s="71">
        <f>U13*(1+WACC!$B$13)/(WACC!$B$14-WACC!$B$13)</f>
        <v>4.4343319267118906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0</v>
      </c>
      <c r="M14" s="62">
        <f>M13/((1+WACC!$B$14)^(M3-$K$3))</f>
        <v>4.2800476588972271E-2</v>
      </c>
      <c r="N14" s="62">
        <f>N13/((1+WACC!$B$14)^(N3-$K$3))</f>
        <v>8.2078911809613145E-2</v>
      </c>
      <c r="O14" s="62">
        <f>O13/((1+WACC!$B$14)^(O3-$K$3))</f>
        <v>0.10231231975652665</v>
      </c>
      <c r="P14" s="62">
        <f>P13/((1+WACC!$B$14)^(P3-$K$3))</f>
        <v>0.12074177370253633</v>
      </c>
      <c r="Q14" s="62">
        <f>Q13/((1+WACC!$B$14)^(Q3-$K$3))</f>
        <v>0.13748146743941839</v>
      </c>
      <c r="R14" s="62">
        <f>R13/((1+WACC!$B$14)^(R3-$K$3))</f>
        <v>0.1387629560860357</v>
      </c>
      <c r="S14" s="62">
        <f>S13/((1+WACC!$B$14)^(S3-$K$3))</f>
        <v>0.13970624873672061</v>
      </c>
      <c r="T14" s="62">
        <f>T13/((1+WACC!$B$14)^(T3-$K$3))</f>
        <v>0.14033700602802174</v>
      </c>
      <c r="U14" s="62">
        <f>U13/((1+WACC!$B$14)^(U3-$K$3))</f>
        <v>0.14067934952113928</v>
      </c>
      <c r="V14" s="63">
        <f>V13/((1+WACC!$B$14)^(U3-$K$3))</f>
        <v>1.3493373358227667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1.3493373358227667</v>
      </c>
      <c r="L17" s="16">
        <f>C17/$C$19</f>
        <v>0.56357698060930417</v>
      </c>
      <c r="O17" s="18"/>
    </row>
    <row r="18" spans="2:22" x14ac:dyDescent="0.25">
      <c r="B18" s="8" t="s">
        <v>26</v>
      </c>
      <c r="C18" s="32">
        <f>SUM(14:14)-V14</f>
        <v>1.0449005096689841</v>
      </c>
      <c r="K18" s="3"/>
      <c r="L18" s="16">
        <f>C18/$C$19</f>
        <v>0.43642301939069578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2.3942378454917508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3">
        <f>Python!E3/1000000/K10</f>
        <v>0.73944752205621767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7.6287467591815414E-2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3.0573978999561531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  <row r="24" spans="2:22" x14ac:dyDescent="0.25">
      <c r="B24" t="s">
        <v>101</v>
      </c>
      <c r="C24" s="74">
        <f>C22*K10</f>
        <v>163.91627361034924</v>
      </c>
    </row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H3" sqref="H3"/>
    </sheetView>
  </sheetViews>
  <sheetFormatPr defaultRowHeight="15" x14ac:dyDescent="0.25"/>
  <cols>
    <col min="1" max="1" width="15.85546875" bestFit="1" customWidth="1"/>
    <col min="2" max="2" width="9" bestFit="1" customWidth="1"/>
    <col min="3" max="3" width="19.5703125" bestFit="1" customWidth="1"/>
    <col min="4" max="4" width="26.28515625" bestFit="1" customWidth="1"/>
    <col min="5" max="5" width="19.85546875" bestFit="1" customWidth="1"/>
    <col min="6" max="6" width="27" bestFit="1" customWidth="1"/>
  </cols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-0.1247600767754319</v>
      </c>
    </row>
    <row r="3" spans="1:6" x14ac:dyDescent="0.25">
      <c r="A3" s="72" t="s">
        <v>34</v>
      </c>
      <c r="B3">
        <v>54801000</v>
      </c>
      <c r="C3">
        <v>-2708000</v>
      </c>
      <c r="D3">
        <v>53613000</v>
      </c>
      <c r="E3">
        <v>39644000</v>
      </c>
      <c r="F3">
        <v>-0.1189614811662055</v>
      </c>
    </row>
    <row r="4" spans="1:6" x14ac:dyDescent="0.25">
      <c r="A4" s="72" t="s">
        <v>35</v>
      </c>
      <c r="B4">
        <v>56503000</v>
      </c>
      <c r="C4">
        <v>-9198000</v>
      </c>
      <c r="D4">
        <v>53301000</v>
      </c>
      <c r="E4">
        <v>38875000</v>
      </c>
      <c r="F4">
        <v>-3.116170178412847E-2</v>
      </c>
    </row>
    <row r="5" spans="1:6" x14ac:dyDescent="0.25">
      <c r="A5" s="72" t="s">
        <v>36</v>
      </c>
      <c r="B5">
        <v>56889000</v>
      </c>
      <c r="C5">
        <v>-16177000</v>
      </c>
      <c r="D5">
        <v>53071000</v>
      </c>
      <c r="E5">
        <v>38215000</v>
      </c>
      <c r="F5">
        <v>8.9730326229395141E-2</v>
      </c>
    </row>
    <row r="6" spans="1:6" x14ac:dyDescent="0.25">
      <c r="A6" s="72" t="s">
        <v>37</v>
      </c>
      <c r="B6">
        <v>56613000</v>
      </c>
      <c r="C6">
        <v>-22294000</v>
      </c>
      <c r="D6">
        <v>53040000</v>
      </c>
      <c r="E6">
        <v>40304000</v>
      </c>
      <c r="F6">
        <v>-0.33047647333361618</v>
      </c>
    </row>
    <row r="7" spans="1:6" x14ac:dyDescent="0.25">
      <c r="A7" s="72" t="s">
        <v>38</v>
      </c>
      <c r="B7">
        <v>64552000</v>
      </c>
      <c r="C7">
        <v>-31877000</v>
      </c>
      <c r="D7">
        <v>53006000</v>
      </c>
      <c r="E7">
        <v>44337000</v>
      </c>
      <c r="F7">
        <v>-0.38875962054770002</v>
      </c>
    </row>
    <row r="8" spans="1:6" x14ac:dyDescent="0.25">
      <c r="A8" s="72" t="s">
        <v>39</v>
      </c>
      <c r="B8">
        <v>72803000</v>
      </c>
      <c r="C8">
        <v>-33537000</v>
      </c>
      <c r="D8">
        <v>52950000</v>
      </c>
      <c r="E8">
        <v>48668000</v>
      </c>
      <c r="F8">
        <v>-0.29727123163328978</v>
      </c>
    </row>
    <row r="9" spans="1:6" x14ac:dyDescent="0.25">
      <c r="A9" s="72" t="s">
        <v>40</v>
      </c>
      <c r="B9">
        <v>78043000</v>
      </c>
      <c r="C9">
        <v>-39533000</v>
      </c>
      <c r="D9">
        <v>52811000</v>
      </c>
      <c r="E9">
        <v>54993000</v>
      </c>
      <c r="F9">
        <v>-7.3177885320428238E-2</v>
      </c>
    </row>
    <row r="10" spans="1:6" x14ac:dyDescent="0.25">
      <c r="A10" s="72" t="s">
        <v>41</v>
      </c>
      <c r="B10">
        <v>90820000</v>
      </c>
      <c r="C10">
        <v>-62379000</v>
      </c>
      <c r="D10">
        <v>52793000</v>
      </c>
      <c r="E10">
        <v>63773000</v>
      </c>
    </row>
    <row r="11" spans="1:6" x14ac:dyDescent="0.25">
      <c r="A11" s="72" t="s">
        <v>42</v>
      </c>
      <c r="B11">
        <v>85956000</v>
      </c>
      <c r="C11">
        <v>-68331000</v>
      </c>
      <c r="D11">
        <v>52775000</v>
      </c>
      <c r="E11">
        <v>77267000</v>
      </c>
    </row>
    <row r="12" spans="1:6" x14ac:dyDescent="0.25">
      <c r="A12" s="72" t="s">
        <v>43</v>
      </c>
      <c r="B12">
        <v>78952000</v>
      </c>
      <c r="C12">
        <v>-73312000</v>
      </c>
      <c r="D12">
        <v>52750000</v>
      </c>
      <c r="E12">
        <v>82726000</v>
      </c>
      <c r="F12">
        <v>0.93533152173913048</v>
      </c>
    </row>
    <row r="13" spans="1:6" x14ac:dyDescent="0.25">
      <c r="A13" s="72" t="s">
        <v>44</v>
      </c>
      <c r="B13">
        <v>71261000</v>
      </c>
      <c r="C13">
        <v>-73593000</v>
      </c>
      <c r="D13">
        <v>52644000</v>
      </c>
      <c r="E13">
        <v>81049000</v>
      </c>
      <c r="F13">
        <v>1.376551359915501</v>
      </c>
    </row>
    <row r="14" spans="1:6" x14ac:dyDescent="0.25">
      <c r="A14" s="72" t="s">
        <v>45</v>
      </c>
      <c r="B14">
        <v>55346000</v>
      </c>
      <c r="C14">
        <v>-60166000</v>
      </c>
      <c r="D14">
        <v>52677000</v>
      </c>
      <c r="E14">
        <v>80843000</v>
      </c>
      <c r="F14">
        <v>1.2506861848124431</v>
      </c>
    </row>
    <row r="15" spans="1:6" x14ac:dyDescent="0.25">
      <c r="A15" s="72" t="s">
        <v>46</v>
      </c>
      <c r="B15">
        <v>45385000</v>
      </c>
      <c r="C15">
        <v>-48675000</v>
      </c>
      <c r="D15">
        <v>52968000</v>
      </c>
      <c r="E15">
        <v>99556000</v>
      </c>
      <c r="F15">
        <v>0.24076686861980259</v>
      </c>
    </row>
    <row r="16" spans="1:6" x14ac:dyDescent="0.25">
      <c r="A16" s="72" t="s">
        <v>47</v>
      </c>
      <c r="B16">
        <v>42090000</v>
      </c>
      <c r="C16">
        <v>-43968000</v>
      </c>
      <c r="D16">
        <v>48071000</v>
      </c>
      <c r="E16">
        <v>96518000</v>
      </c>
      <c r="F16">
        <v>0.2504517383152538</v>
      </c>
    </row>
    <row r="17" spans="1:5" x14ac:dyDescent="0.25">
      <c r="A17" s="72" t="s">
        <v>48</v>
      </c>
      <c r="B17">
        <v>39621000</v>
      </c>
      <c r="C17">
        <v>-53880000</v>
      </c>
      <c r="D17">
        <v>48071000</v>
      </c>
      <c r="E17">
        <v>33374000</v>
      </c>
    </row>
    <row r="18" spans="1:5" x14ac:dyDescent="0.25">
      <c r="A18" s="72" t="s">
        <v>49</v>
      </c>
      <c r="B18">
        <v>34950000</v>
      </c>
      <c r="C18">
        <v>-48955000</v>
      </c>
      <c r="D18">
        <v>13164675</v>
      </c>
      <c r="E18">
        <v>15488000</v>
      </c>
    </row>
    <row r="19" spans="1:5" x14ac:dyDescent="0.25">
      <c r="A19" s="72" t="s">
        <v>50</v>
      </c>
      <c r="B19">
        <v>30997000</v>
      </c>
      <c r="C19">
        <v>-50056000</v>
      </c>
      <c r="D19">
        <v>13164675</v>
      </c>
      <c r="E19">
        <v>19061000</v>
      </c>
    </row>
    <row r="20" spans="1:5" x14ac:dyDescent="0.25">
      <c r="A20" s="72" t="s">
        <v>51</v>
      </c>
      <c r="B20">
        <v>22520000</v>
      </c>
      <c r="C20">
        <v>-53711000</v>
      </c>
      <c r="D20">
        <v>13164675</v>
      </c>
      <c r="E20">
        <v>23048000</v>
      </c>
    </row>
    <row r="21" spans="1:5" x14ac:dyDescent="0.25">
      <c r="A21" s="72" t="s">
        <v>52</v>
      </c>
      <c r="B21">
        <v>18026000</v>
      </c>
      <c r="C21">
        <v>-45478000</v>
      </c>
      <c r="D21">
        <v>37952325</v>
      </c>
      <c r="E21">
        <v>44344000</v>
      </c>
    </row>
    <row r="22" spans="1:5" x14ac:dyDescent="0.25">
      <c r="A22" s="72" t="s">
        <v>53</v>
      </c>
      <c r="D22">
        <v>20000000</v>
      </c>
    </row>
    <row r="23" spans="1:5" x14ac:dyDescent="0.25">
      <c r="A23" s="72" t="s">
        <v>54</v>
      </c>
      <c r="D23">
        <v>20000000</v>
      </c>
    </row>
    <row r="24" spans="1:5" x14ac:dyDescent="0.25">
      <c r="A24" s="72" t="s">
        <v>55</v>
      </c>
      <c r="D24">
        <v>20000000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56</v>
      </c>
      <c r="B1" s="27" t="s">
        <v>57</v>
      </c>
      <c r="C1" t="s">
        <v>58</v>
      </c>
      <c r="D1" t="s">
        <v>59</v>
      </c>
      <c r="F1" s="27" t="s">
        <v>57</v>
      </c>
      <c r="G1" t="s">
        <v>58</v>
      </c>
      <c r="H1" t="s">
        <v>59</v>
      </c>
      <c r="J1" t="s">
        <v>60</v>
      </c>
      <c r="K1" t="s">
        <v>58</v>
      </c>
      <c r="L1" t="s">
        <v>59</v>
      </c>
      <c r="N1" t="s">
        <v>61</v>
      </c>
      <c r="O1" t="s">
        <v>58</v>
      </c>
      <c r="P1" t="s">
        <v>59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66</v>
      </c>
    </row>
    <row r="7" spans="1:46" x14ac:dyDescent="0.25">
      <c r="A7" s="27" t="s">
        <v>67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68</v>
      </c>
    </row>
    <row r="8" spans="1:46" x14ac:dyDescent="0.25">
      <c r="A8" s="27" t="s">
        <v>69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70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71</v>
      </c>
    </row>
    <row r="10" spans="1:46" x14ac:dyDescent="0.25">
      <c r="A10" s="27" t="s">
        <v>72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73</v>
      </c>
    </row>
    <row r="11" spans="1:46" x14ac:dyDescent="0.25">
      <c r="A11" s="27" t="s">
        <v>74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78</v>
      </c>
    </row>
    <row r="15" spans="1:46" x14ac:dyDescent="0.25">
      <c r="A15" s="27" t="s">
        <v>79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80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81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89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90</v>
      </c>
      <c r="J26">
        <v>0.61799999999999999</v>
      </c>
      <c r="N26">
        <v>-0.36399999999999999</v>
      </c>
    </row>
    <row r="27" spans="1:17" x14ac:dyDescent="0.25">
      <c r="A27" s="27" t="s">
        <v>91</v>
      </c>
    </row>
    <row r="28" spans="1:17" x14ac:dyDescent="0.25">
      <c r="A28" s="27" t="s">
        <v>92</v>
      </c>
    </row>
    <row r="29" spans="1:17" x14ac:dyDescent="0.25">
      <c r="A29" s="27" t="s">
        <v>93</v>
      </c>
    </row>
    <row r="31" spans="1:17" x14ac:dyDescent="0.25">
      <c r="A31" s="26" t="s">
        <v>94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96</v>
      </c>
      <c r="C1" s="72" t="s">
        <v>97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98</v>
      </c>
      <c r="D2">
        <v>1.7018708240564651</v>
      </c>
      <c r="E2">
        <v>0.1586185923036823</v>
      </c>
    </row>
    <row r="3" spans="1:5" x14ac:dyDescent="0.25">
      <c r="A3" s="72">
        <v>1</v>
      </c>
      <c r="B3">
        <v>3</v>
      </c>
      <c r="C3" t="s">
        <v>99</v>
      </c>
      <c r="D3">
        <v>1.901391839114752</v>
      </c>
      <c r="E3">
        <v>0.17243941310810329</v>
      </c>
    </row>
    <row r="4" spans="1:5" x14ac:dyDescent="0.25">
      <c r="A4" s="72">
        <v>2</v>
      </c>
      <c r="B4">
        <v>3</v>
      </c>
      <c r="C4" t="s">
        <v>100</v>
      </c>
      <c r="D4">
        <v>1.4205666656647169</v>
      </c>
      <c r="E4">
        <v>0.1391326531231151</v>
      </c>
    </row>
    <row r="5" spans="1:5" x14ac:dyDescent="0.25">
      <c r="A5" s="72">
        <v>3</v>
      </c>
      <c r="B5">
        <v>5</v>
      </c>
      <c r="C5" t="s">
        <v>98</v>
      </c>
      <c r="D5">
        <v>1.220298842660839</v>
      </c>
      <c r="E5">
        <v>0.1252601009319611</v>
      </c>
    </row>
    <row r="6" spans="1:5" x14ac:dyDescent="0.25">
      <c r="A6" s="72">
        <v>4</v>
      </c>
      <c r="B6">
        <v>5</v>
      </c>
      <c r="C6" t="s">
        <v>99</v>
      </c>
      <c r="D6">
        <v>1.080342281654713</v>
      </c>
      <c r="E6">
        <v>0.1155653098869998</v>
      </c>
    </row>
    <row r="7" spans="1:5" x14ac:dyDescent="0.25">
      <c r="A7" s="72">
        <v>5</v>
      </c>
      <c r="B7">
        <v>5</v>
      </c>
      <c r="C7" t="s">
        <v>100</v>
      </c>
      <c r="D7">
        <v>0.72017929208926645</v>
      </c>
      <c r="E7">
        <v>9.0616819434931731E-2</v>
      </c>
    </row>
    <row r="8" spans="1:5" x14ac:dyDescent="0.25">
      <c r="A8" s="72">
        <v>6</v>
      </c>
      <c r="B8" t="s">
        <v>94</v>
      </c>
      <c r="D8">
        <v>1.3407749575401251</v>
      </c>
      <c r="E8">
        <v>0.13360548146479889</v>
      </c>
    </row>
    <row r="9" spans="1:5" x14ac:dyDescent="0.25">
      <c r="A9" s="72">
        <v>7</v>
      </c>
      <c r="B9" t="s">
        <v>95</v>
      </c>
      <c r="D9">
        <v>1.3204327541627781</v>
      </c>
      <c r="E9">
        <v>0.13219637702753809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2024-10-18T20:07:36Z</dcterms:modified>
</cp:coreProperties>
</file>