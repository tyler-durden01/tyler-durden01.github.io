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6" documentId="11_A86331A9E7DC80E3D807CEA8F27C287F75BBB4F6" xr6:coauthVersionLast="47" xr6:coauthVersionMax="47" xr10:uidLastSave="{33B5191A-8578-4B17-AC64-5222DBB1E8C1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3" l="1"/>
  <c r="L11" i="3"/>
  <c r="O32" i="5"/>
  <c r="C32" i="5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K32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H4" i="5"/>
  <c r="G4" i="5"/>
  <c r="D4" i="5"/>
  <c r="C4" i="5"/>
  <c r="R3" i="5"/>
  <c r="P3" i="5"/>
  <c r="O3" i="5"/>
  <c r="O31" i="5" s="1"/>
  <c r="L3" i="5"/>
  <c r="K3" i="5"/>
  <c r="H3" i="5"/>
  <c r="G3" i="5"/>
  <c r="D3" i="5"/>
  <c r="C3" i="5"/>
  <c r="R2" i="5"/>
  <c r="H2" i="5"/>
  <c r="G2" i="5"/>
  <c r="G32" i="5" s="1"/>
  <c r="D2" i="5"/>
  <c r="C2" i="5"/>
  <c r="C31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J10" i="3"/>
  <c r="H10" i="3"/>
  <c r="D10" i="3"/>
  <c r="L5" i="3"/>
  <c r="K4" i="3"/>
  <c r="L4" i="3" s="1"/>
  <c r="I4" i="3"/>
  <c r="F4" i="3"/>
  <c r="K3" i="3"/>
  <c r="H3" i="3"/>
  <c r="K1" i="3"/>
  <c r="K10" i="3" s="1"/>
  <c r="J1" i="3"/>
  <c r="J7" i="3" s="1"/>
  <c r="I1" i="3"/>
  <c r="I10" i="3" s="1"/>
  <c r="I11" i="3" s="1"/>
  <c r="H1" i="3"/>
  <c r="H7" i="3" s="1"/>
  <c r="G1" i="3"/>
  <c r="G10" i="3" s="1"/>
  <c r="F1" i="3"/>
  <c r="F3" i="3" s="1"/>
  <c r="E1" i="3"/>
  <c r="E10" i="3" s="1"/>
  <c r="E11" i="3" s="1"/>
  <c r="D1" i="3"/>
  <c r="D4" i="3" s="1"/>
  <c r="M4" i="3" l="1"/>
  <c r="N5" i="3"/>
  <c r="O5" i="3" s="1"/>
  <c r="P5" i="3" s="1"/>
  <c r="Q5" i="3" s="1"/>
  <c r="R5" i="3" s="1"/>
  <c r="S5" i="3" s="1"/>
  <c r="T5" i="3" s="1"/>
  <c r="U5" i="3" s="1"/>
  <c r="H13" i="3"/>
  <c r="J13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K11" i="3"/>
  <c r="M11" i="3" s="1"/>
  <c r="N11" i="3" s="1"/>
  <c r="O11" i="3" s="1"/>
  <c r="P11" i="3" s="1"/>
  <c r="Q11" i="3" s="1"/>
  <c r="R11" i="3" s="1"/>
  <c r="S11" i="3" s="1"/>
  <c r="T11" i="3" s="1"/>
  <c r="U11" i="3" s="1"/>
  <c r="C21" i="3"/>
  <c r="C20" i="3"/>
  <c r="H11" i="3"/>
  <c r="J11" i="3"/>
  <c r="G7" i="3"/>
  <c r="G3" i="3"/>
  <c r="E4" i="3"/>
  <c r="E5" i="3" s="1"/>
  <c r="I7" i="3"/>
  <c r="I3" i="3"/>
  <c r="G4" i="3"/>
  <c r="G5" i="3" s="1"/>
  <c r="K7" i="3"/>
  <c r="F10" i="3"/>
  <c r="F11" i="3" s="1"/>
  <c r="E3" i="3"/>
  <c r="L1" i="3"/>
  <c r="J3" i="3"/>
  <c r="H4" i="3"/>
  <c r="H5" i="3" s="1"/>
  <c r="D7" i="3"/>
  <c r="G31" i="5"/>
  <c r="E7" i="3"/>
  <c r="D3" i="3"/>
  <c r="J4" i="3"/>
  <c r="J5" i="3" s="1"/>
  <c r="F7" i="3"/>
  <c r="N4" i="3" l="1"/>
  <c r="O4" i="3" s="1"/>
  <c r="P4" i="3" s="1"/>
  <c r="Q4" i="3" s="1"/>
  <c r="R4" i="3" s="1"/>
  <c r="S4" i="3" s="1"/>
  <c r="T4" i="3" s="1"/>
  <c r="U4" i="3" s="1"/>
  <c r="V4" i="3" s="1"/>
  <c r="L3" i="3"/>
  <c r="M1" i="3"/>
  <c r="G8" i="3"/>
  <c r="G13" i="3"/>
  <c r="K8" i="3"/>
  <c r="K13" i="3"/>
  <c r="J8" i="3"/>
  <c r="I5" i="3"/>
  <c r="F5" i="3"/>
  <c r="E8" i="3"/>
  <c r="E13" i="3"/>
  <c r="D13" i="3"/>
  <c r="D8" i="3"/>
  <c r="H8" i="3"/>
  <c r="F13" i="3"/>
  <c r="F8" i="3"/>
  <c r="I13" i="3"/>
  <c r="I8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K5" i="3"/>
  <c r="G11" i="3"/>
  <c r="L8" i="3" l="1"/>
  <c r="N1" i="3"/>
  <c r="M3" i="3"/>
  <c r="M8" i="3" l="1"/>
  <c r="L7" i="3"/>
  <c r="L13" i="3" s="1"/>
  <c r="L14" i="3" s="1"/>
  <c r="N3" i="3"/>
  <c r="O1" i="3"/>
  <c r="P1" i="3" l="1"/>
  <c r="O3" i="3"/>
  <c r="M7" i="3"/>
  <c r="M13" i="3" s="1"/>
  <c r="M14" i="3" s="1"/>
  <c r="N8" i="3"/>
  <c r="O8" i="3" l="1"/>
  <c r="N7" i="3"/>
  <c r="N13" i="3" s="1"/>
  <c r="N14" i="3" s="1"/>
  <c r="P3" i="3"/>
  <c r="Q1" i="3"/>
  <c r="P8" i="3" l="1"/>
  <c r="O7" i="3"/>
  <c r="O13" i="3" s="1"/>
  <c r="O14" i="3" s="1"/>
  <c r="Q3" i="3"/>
  <c r="R1" i="3"/>
  <c r="R3" i="3" l="1"/>
  <c r="S1" i="3"/>
  <c r="P7" i="3"/>
  <c r="P13" i="3" s="1"/>
  <c r="P14" i="3" s="1"/>
  <c r="Q8" i="3"/>
  <c r="R8" i="3" l="1"/>
  <c r="Q7" i="3"/>
  <c r="Q13" i="3" s="1"/>
  <c r="Q14" i="3" s="1"/>
  <c r="S3" i="3"/>
  <c r="T1" i="3"/>
  <c r="R7" i="3" l="1"/>
  <c r="R13" i="3" s="1"/>
  <c r="R14" i="3" s="1"/>
  <c r="S8" i="3"/>
  <c r="U1" i="3"/>
  <c r="U3" i="3" s="1"/>
  <c r="T3" i="3"/>
  <c r="S7" i="3" l="1"/>
  <c r="S13" i="3" s="1"/>
  <c r="S14" i="3" s="1"/>
  <c r="T8" i="3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<sst xmlns="http://schemas.openxmlformats.org/spreadsheetml/2006/main" count="248" uniqueCount="229">
  <si>
    <t>This sheet contains FactSet XML data for use with this workbook's =FDS codes.  Modifying the worksheet's contents may damage the workbook's =FDS functionality.</t>
  </si>
  <si>
    <t>WM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</si>
  <si>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</si>
  <si>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</si>
  <si>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</si>
  <si>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</si>
  <si>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</si>
  <si>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</si>
  <si>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</si>
  <si>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</si>
  <si>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</si>
  <si>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</si>
  <si>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</si>
  <si>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</si>
  <si>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</si>
  <si>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</si>
  <si>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</si>
  <si>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</si>
  <si>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</si>
  <si>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</si>
  <si>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</si>
  <si>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</si>
  <si>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</si>
  <si>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</si>
  <si>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</si>
  <si>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</si>
  <si>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</si>
  <si>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</si>
  <si>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</si>
  <si>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</si>
  <si>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</si>
  <si>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</si>
  <si>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</si>
  <si>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</si>
  <si>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</si>
  <si>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</si>
  <si>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</si>
  <si>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</si>
  <si>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</si>
  <si>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</si>
  <si>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</si>
  <si>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</si>
  <si>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</si>
  <si>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</si>
  <si>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</si>
  <si>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</si>
  <si>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</si>
  <si>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</si>
  <si>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</si>
  <si>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</si>
  <si>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</si>
  <si>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</si>
  <si>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</si>
  <si>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</si>
  <si>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</si>
  <si>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</si>
  <si>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</si>
  <si>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</si>
  <si>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</si>
  <si>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</si>
  <si>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</si>
  <si>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</si>
  <si>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</si>
  <si>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</si>
  <si>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</si>
  <si>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</si>
  <si>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</si>
  <si>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</si>
  <si>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</si>
  <si>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</si>
  <si>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</si>
  <si>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</si>
  <si>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</si>
  <si>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</si>
  <si>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</si>
  <si>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</si>
  <si>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</si>
  <si>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</si>
  <si>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</si>
  <si>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</si>
  <si>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</si>
  <si>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</si>
  <si>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</si>
  <si>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</si>
  <si>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</si>
  <si>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</si>
  <si>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</si>
  <si>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</si>
  <si>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</si>
  <si>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</si>
  <si>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</si>
  <si>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</si>
  <si>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</si>
  <si>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</si>
  <si>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</si>
  <si>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</si>
  <si>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</si>
  <si>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</si>
  <si>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</si>
  <si>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</si>
  <si>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</si>
  <si>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</si>
  <si>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</si>
  <si>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</si>
  <si>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</si>
  <si>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</si>
  <si>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</si>
  <si>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</si>
  <si>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</si>
  <si>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</si>
  <si>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</si>
  <si>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</si>
  <si>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</si>
  <si>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</si>
  <si>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</si>
  <si>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</si>
  <si>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</si>
  <si>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</si>
  <si>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</si>
  <si>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</si>
  <si>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</si>
  <si>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</si>
  <si>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</si>
  <si>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</si>
  <si>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</si>
  <si>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</si>
  <si>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</si>
  <si>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</si>
  <si>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</si>
  <si>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</si>
  <si>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</si>
  <si>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</si>
  <si>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</si>
  <si>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</si>
  <si>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</si>
  <si>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</si>
  <si>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</si>
  <si>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</si>
  <si>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</si>
  <si>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</si>
  <si>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</si>
  <si>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</si>
  <si>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</si>
  <si>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</si>
  <si>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</si>
  <si>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</si>
  <si>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</si>
  <si>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</si>
  <si>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1995-12-31</t>
  </si>
  <si>
    <t>1995-09-30</t>
  </si>
  <si>
    <t>1995-06-30</t>
  </si>
  <si>
    <t>1995-03-31</t>
  </si>
  <si>
    <t>1994-12-31</t>
  </si>
  <si>
    <t>1994-09-30</t>
  </si>
  <si>
    <t>1994-06-30</t>
  </si>
  <si>
    <t>1994-03-31</t>
  </si>
  <si>
    <t>1993-12-31</t>
  </si>
  <si>
    <t>1993-09-30</t>
  </si>
  <si>
    <t>1993-06-30</t>
  </si>
  <si>
    <t>1993-03-31</t>
  </si>
  <si>
    <t>1992-12-31</t>
  </si>
  <si>
    <t>1992-09-30</t>
  </si>
  <si>
    <t>1992-06-30</t>
  </si>
  <si>
    <t>1992-03-31</t>
  </si>
  <si>
    <t>1991-12-31</t>
  </si>
  <si>
    <t>1991-09-30</t>
  </si>
  <si>
    <t>1991-06-30</t>
  </si>
  <si>
    <t>1991-03-31</t>
  </si>
  <si>
    <t>1990-12-31</t>
  </si>
  <si>
    <t>1990-09-30</t>
  </si>
  <si>
    <t>1990-06-30</t>
  </si>
  <si>
    <t>1990-03-31</t>
  </si>
  <si>
    <t>1989-12-31</t>
  </si>
  <si>
    <t>1989-09-30</t>
  </si>
  <si>
    <t>1989-06-30</t>
  </si>
  <si>
    <t>1989-03-31</t>
  </si>
  <si>
    <t>1988-12-31</t>
  </si>
  <si>
    <t>1988-09-30</t>
  </si>
  <si>
    <t>1988-06-30</t>
  </si>
  <si>
    <t>1988-03-31</t>
  </si>
  <si>
    <t>1987-12-31</t>
  </si>
  <si>
    <t>1987-09-30</t>
  </si>
  <si>
    <t>1987-06-30</t>
  </si>
  <si>
    <t>1987-03-31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</si>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</sst>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3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3" sqref="B13"/>
    </sheetView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26548000000</v>
      </c>
    </row>
    <row r="3" spans="1:2" x14ac:dyDescent="0.25">
      <c r="A3" s="72" t="s">
        <v>3</v>
      </c>
      <c r="B3">
        <v>16501000000</v>
      </c>
    </row>
    <row r="4" spans="1:2" x14ac:dyDescent="0.25">
      <c r="A4" s="72" t="s">
        <v>4</v>
      </c>
      <c r="B4">
        <v>0.68891950567802274</v>
      </c>
    </row>
    <row r="5" spans="1:2" x14ac:dyDescent="0.25">
      <c r="A5" s="72" t="s">
        <v>5</v>
      </c>
      <c r="B5">
        <v>3.1573844009453969E-2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7451000000</v>
      </c>
    </row>
    <row r="8" spans="1:2" x14ac:dyDescent="0.25">
      <c r="A8" s="72" t="s">
        <v>8</v>
      </c>
      <c r="B8">
        <v>0.31108049432197732</v>
      </c>
    </row>
    <row r="9" spans="1:2" x14ac:dyDescent="0.25">
      <c r="A9" s="72" t="s">
        <v>9</v>
      </c>
      <c r="B9">
        <v>8.2298273056641141E-2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0.60009056214385947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4.2785338700109928E-2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A2" sqref="A2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hidden="1" customWidth="1" outlineLevel="1"/>
    <col min="12" max="12" width="10.5703125" customWidth="1" collapsed="1"/>
    <col min="13" max="22" width="10.5703125" customWidth="1"/>
  </cols>
  <sheetData>
    <row r="1" spans="2:22" hidden="1" outlineLevel="1" x14ac:dyDescent="0.25">
      <c r="C1" s="28"/>
      <c r="D1" s="65" t="str">
        <f>Python!A31</f>
        <v>2017-06-30</v>
      </c>
      <c r="E1" s="65" t="str">
        <f>Python!A27</f>
        <v>2018-06-30</v>
      </c>
      <c r="F1" s="65" t="str">
        <f>Python!A23</f>
        <v>2019-06-30</v>
      </c>
      <c r="G1" s="65" t="str">
        <f>Python!A19</f>
        <v>2020-06-30</v>
      </c>
      <c r="H1" s="65" t="str">
        <f>Python!A15</f>
        <v>2021-06-30</v>
      </c>
      <c r="I1" s="65" t="str">
        <f>Python!A11</f>
        <v>2022-06-30</v>
      </c>
      <c r="J1" s="65" t="str">
        <f>Python!A7</f>
        <v>2023-06-30</v>
      </c>
      <c r="K1" s="65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3" t="s">
        <v>15</v>
      </c>
      <c r="C3" s="44"/>
      <c r="D3" s="44">
        <f t="shared" ref="D3:U3" si="1">YEAR(D1)</f>
        <v>2017</v>
      </c>
      <c r="E3" s="44">
        <f t="shared" si="1"/>
        <v>2018</v>
      </c>
      <c r="F3" s="44">
        <f t="shared" si="1"/>
        <v>2019</v>
      </c>
      <c r="G3" s="44">
        <f t="shared" si="1"/>
        <v>2020</v>
      </c>
      <c r="H3" s="44">
        <f t="shared" si="1"/>
        <v>2021</v>
      </c>
      <c r="I3" s="44">
        <f t="shared" si="1"/>
        <v>2022</v>
      </c>
      <c r="J3" s="44">
        <f t="shared" si="1"/>
        <v>2023</v>
      </c>
      <c r="K3" s="53">
        <f t="shared" si="1"/>
        <v>2024</v>
      </c>
      <c r="L3" s="44">
        <f t="shared" si="1"/>
        <v>2025</v>
      </c>
      <c r="M3" s="44">
        <f t="shared" si="1"/>
        <v>2026</v>
      </c>
      <c r="N3" s="44">
        <f t="shared" si="1"/>
        <v>2027</v>
      </c>
      <c r="O3" s="44">
        <f t="shared" si="1"/>
        <v>2028</v>
      </c>
      <c r="P3" s="44">
        <f t="shared" si="1"/>
        <v>2029</v>
      </c>
      <c r="Q3" s="44">
        <f t="shared" si="1"/>
        <v>2030</v>
      </c>
      <c r="R3" s="44">
        <f t="shared" si="1"/>
        <v>2031</v>
      </c>
      <c r="S3" s="44">
        <f t="shared" si="1"/>
        <v>2032</v>
      </c>
      <c r="T3" s="44">
        <f t="shared" si="1"/>
        <v>2033</v>
      </c>
      <c r="U3" s="44">
        <f t="shared" si="1"/>
        <v>2034</v>
      </c>
      <c r="V3" s="45" t="s">
        <v>16</v>
      </c>
    </row>
    <row r="4" spans="2:22" s="1" customFormat="1" x14ac:dyDescent="0.25">
      <c r="B4" s="47" t="s">
        <v>17</v>
      </c>
      <c r="C4" s="36"/>
      <c r="D4" s="36">
        <f>IFERROR(INDEX(Python!$1:$1048576,MATCH(DCF_Simple!D$1,Python!$A:$A,0),MATCH(DCF_Simple!$B4,Python!$1:$1,0))/1000000,0)</f>
        <v>14125</v>
      </c>
      <c r="E4" s="36">
        <f>IFERROR(INDEX(Python!$1:$1048576,MATCH(DCF_Simple!E$1,Python!$A:$A,0),MATCH(DCF_Simple!$B4,Python!$1:$1,0))/1000000,0)</f>
        <v>14618</v>
      </c>
      <c r="F4" s="36">
        <f>IFERROR(INDEX(Python!$1:$1048576,MATCH(DCF_Simple!F$1,Python!$A:$A,0),MATCH(DCF_Simple!$B4,Python!$1:$1,0))/1000000,0)</f>
        <v>15306</v>
      </c>
      <c r="G4" s="36">
        <f>IFERROR(INDEX(Python!$1:$1048576,MATCH(DCF_Simple!G$1,Python!$A:$A,0),MATCH(DCF_Simple!$B4,Python!$1:$1,0))/1000000,0)</f>
        <v>15103</v>
      </c>
      <c r="H4" s="36">
        <f>IFERROR(INDEX(Python!$1:$1048576,MATCH(DCF_Simple!H$1,Python!$A:$A,0),MATCH(DCF_Simple!$B4,Python!$1:$1,0))/1000000,0)</f>
        <v>16516</v>
      </c>
      <c r="I4" s="36">
        <f>IFERROR(INDEX(Python!$1:$1048576,MATCH(DCF_Simple!I$1,Python!$A:$A,0),MATCH(DCF_Simple!$B4,Python!$1:$1,0))/1000000,0)</f>
        <v>19031</v>
      </c>
      <c r="J4" s="36">
        <f>IFERROR(INDEX(Python!$1:$1048576,MATCH(DCF_Simple!J$1,Python!$A:$A,0),MATCH(DCF_Simple!$B4,Python!$1:$1,0))/1000000,0)</f>
        <v>20021</v>
      </c>
      <c r="K4" s="54">
        <f>IFERROR(INDEX(Python!$1:$1048576,MATCH(DCF_Simple!K$1,Python!$A:$A,0),MATCH(DCF_Simple!$B4,Python!$1:$1,0))/1000000,0)</f>
        <v>20976</v>
      </c>
      <c r="L4" s="37">
        <f t="shared" ref="L4:U4" si="2">K4*(1+L5)</f>
        <v>22251.427964601768</v>
      </c>
      <c r="M4" s="36">
        <f t="shared" si="2"/>
        <v>23568.266195621036</v>
      </c>
      <c r="N4" s="36">
        <f t="shared" si="2"/>
        <v>24963.034837642805</v>
      </c>
      <c r="O4" s="36">
        <f t="shared" si="2"/>
        <v>26440.345807921571</v>
      </c>
      <c r="P4" s="36">
        <f t="shared" si="2"/>
        <v>28005.083956710499</v>
      </c>
      <c r="Q4" s="36">
        <f t="shared" si="2"/>
        <v>29662.423219420634</v>
      </c>
      <c r="R4" s="36">
        <f t="shared" si="2"/>
        <v>31417.843724663962</v>
      </c>
      <c r="S4" s="36">
        <f t="shared" si="2"/>
        <v>33277.149914749491</v>
      </c>
      <c r="T4" s="36">
        <f t="shared" si="2"/>
        <v>35246.489738549244</v>
      </c>
      <c r="U4" s="36">
        <f t="shared" si="2"/>
        <v>37332.374980196953</v>
      </c>
      <c r="V4" s="19">
        <f>U4</f>
        <v>37332.374980196953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3.4902654867256633E-2</v>
      </c>
      <c r="F5" s="42">
        <f t="shared" si="3"/>
        <v>4.7065262005746344E-2</v>
      </c>
      <c r="G5" s="42">
        <f t="shared" si="3"/>
        <v>-1.3262772768848796E-2</v>
      </c>
      <c r="H5" s="42">
        <f t="shared" si="3"/>
        <v>9.3557571343441781E-2</v>
      </c>
      <c r="I5" s="42">
        <f t="shared" si="3"/>
        <v>0.1522765802857835</v>
      </c>
      <c r="J5" s="42">
        <f t="shared" si="3"/>
        <v>5.202038778834539E-2</v>
      </c>
      <c r="K5" s="57">
        <f t="shared" si="3"/>
        <v>4.7699915089156386E-2</v>
      </c>
      <c r="L5" s="38">
        <f>Python!F2</f>
        <v>6.0804155444401653E-2</v>
      </c>
      <c r="M5" s="38">
        <f>AVERAGE(E5:K5)</f>
        <v>5.9179942658697318E-2</v>
      </c>
      <c r="N5" s="38">
        <f t="shared" ref="N5:U5" si="4">M5</f>
        <v>5.9179942658697318E-2</v>
      </c>
      <c r="O5" s="38">
        <f t="shared" si="4"/>
        <v>5.9179942658697318E-2</v>
      </c>
      <c r="P5" s="38">
        <f t="shared" si="4"/>
        <v>5.9179942658697318E-2</v>
      </c>
      <c r="Q5" s="38">
        <f t="shared" si="4"/>
        <v>5.9179942658697318E-2</v>
      </c>
      <c r="R5" s="38">
        <f t="shared" si="4"/>
        <v>5.9179942658697318E-2</v>
      </c>
      <c r="S5" s="38">
        <f t="shared" si="4"/>
        <v>5.9179942658697318E-2</v>
      </c>
      <c r="T5" s="38">
        <f t="shared" si="4"/>
        <v>5.9179942658697318E-2</v>
      </c>
      <c r="U5" s="38">
        <f t="shared" si="4"/>
        <v>5.9179942658697318E-2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5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1"/>
      <c r="D7" s="51">
        <f>IFERROR(INDEX(Python!$1:$1048576,MATCH(DCF_Simple!D$1,Python!$A:$A,0),MATCH(DCF_Simple!$B7,Python!$1:$1,0))/1000000,0)</f>
        <v>1699</v>
      </c>
      <c r="E7" s="51">
        <f>IFERROR(INDEX(Python!$1:$1048576,MATCH(DCF_Simple!E$1,Python!$A:$A,0),MATCH(DCF_Simple!$B7,Python!$1:$1,0))/1000000,0)</f>
        <v>1716</v>
      </c>
      <c r="F7" s="51">
        <f>IFERROR(INDEX(Python!$1:$1048576,MATCH(DCF_Simple!F$1,Python!$A:$A,0),MATCH(DCF_Simple!$B7,Python!$1:$1,0))/1000000,0)</f>
        <v>1779</v>
      </c>
      <c r="G7" s="51">
        <f>IFERROR(INDEX(Python!$1:$1048576,MATCH(DCF_Simple!G$1,Python!$A:$A,0),MATCH(DCF_Simple!$B7,Python!$1:$1,0))/1000000,0)</f>
        <v>1931</v>
      </c>
      <c r="H7" s="51">
        <f>IFERROR(INDEX(Python!$1:$1048576,MATCH(DCF_Simple!H$1,Python!$A:$A,0),MATCH(DCF_Simple!$B7,Python!$1:$1,0))/1000000,0)</f>
        <v>2542</v>
      </c>
      <c r="I7" s="51">
        <f>IFERROR(INDEX(Python!$1:$1048576,MATCH(DCF_Simple!I$1,Python!$A:$A,0),MATCH(DCF_Simple!$B7,Python!$1:$1,0))/1000000,0)</f>
        <v>2274</v>
      </c>
      <c r="J7" s="51">
        <f>IFERROR(INDEX(Python!$1:$1048576,MATCH(DCF_Simple!J$1,Python!$A:$A,0),MATCH(DCF_Simple!$B7,Python!$1:$1,0))/1000000,0)</f>
        <v>1506</v>
      </c>
      <c r="K7" s="56">
        <f>IFERROR(INDEX(Python!$1:$1048576,MATCH(DCF_Simple!K$1,Python!$A:$A,0),MATCH(DCF_Simple!$B7,Python!$1:$1,0))/1000000,0)</f>
        <v>2116</v>
      </c>
      <c r="L7" s="63">
        <f t="shared" ref="L7:U7" si="5">L8*L4</f>
        <v>2590.2215644840867</v>
      </c>
      <c r="M7" s="63">
        <f t="shared" si="5"/>
        <v>2743.5107281435762</v>
      </c>
      <c r="N7" s="63">
        <f t="shared" si="5"/>
        <v>2905.8715357186343</v>
      </c>
      <c r="O7" s="63">
        <f t="shared" si="5"/>
        <v>3077.840846576004</v>
      </c>
      <c r="P7" s="63">
        <f t="shared" si="5"/>
        <v>3259.9872913889685</v>
      </c>
      <c r="Q7" s="63">
        <f t="shared" si="5"/>
        <v>3452.9131523614501</v>
      </c>
      <c r="R7" s="63">
        <f t="shared" si="5"/>
        <v>3657.2563547236628</v>
      </c>
      <c r="S7" s="63">
        <f t="shared" si="5"/>
        <v>3873.692576084366</v>
      </c>
      <c r="T7" s="63">
        <f t="shared" si="5"/>
        <v>4102.9374806144606</v>
      </c>
      <c r="U7" s="63">
        <f t="shared" si="5"/>
        <v>4345.7490854494445</v>
      </c>
      <c r="V7" s="64">
        <f>U7</f>
        <v>4345.7490854494445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0.12028318584070796</v>
      </c>
      <c r="E8" s="42">
        <f t="shared" si="6"/>
        <v>0.11738951977014639</v>
      </c>
      <c r="F8" s="42">
        <f t="shared" si="6"/>
        <v>0.11622892983143865</v>
      </c>
      <c r="G8" s="42">
        <f t="shared" si="6"/>
        <v>0.12785539296828444</v>
      </c>
      <c r="H8" s="42">
        <f t="shared" si="6"/>
        <v>0.1539113586824897</v>
      </c>
      <c r="I8" s="42">
        <f t="shared" si="6"/>
        <v>0.1194892543744417</v>
      </c>
      <c r="J8" s="42">
        <f t="shared" si="6"/>
        <v>7.5221017931172265E-2</v>
      </c>
      <c r="K8" s="57">
        <f t="shared" si="6"/>
        <v>0.10087719298245613</v>
      </c>
      <c r="L8" s="38">
        <f>AVERAGE(D8:K8)</f>
        <v>0.11640698154764216</v>
      </c>
      <c r="M8" s="38">
        <f t="shared" ref="M8:U8" si="7">L8</f>
        <v>0.11640698154764216</v>
      </c>
      <c r="N8" s="38">
        <f t="shared" si="7"/>
        <v>0.11640698154764216</v>
      </c>
      <c r="O8" s="38">
        <f t="shared" si="7"/>
        <v>0.11640698154764216</v>
      </c>
      <c r="P8" s="38">
        <f t="shared" si="7"/>
        <v>0.11640698154764216</v>
      </c>
      <c r="Q8" s="38">
        <f t="shared" si="7"/>
        <v>0.11640698154764216</v>
      </c>
      <c r="R8" s="38">
        <f t="shared" si="7"/>
        <v>0.11640698154764216</v>
      </c>
      <c r="S8" s="38">
        <f t="shared" si="7"/>
        <v>0.11640698154764216</v>
      </c>
      <c r="T8" s="38">
        <f t="shared" si="7"/>
        <v>0.11640698154764216</v>
      </c>
      <c r="U8" s="38">
        <f t="shared" si="7"/>
        <v>0.11640698154764216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7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6" t="s">
        <v>21</v>
      </c>
      <c r="C10" s="35"/>
      <c r="D10" s="17">
        <f>IFERROR(INDEX(Python!$1:$1048576,MATCH(DCF_Simple!D$1,Python!$A:$A,0),MATCH(DCF_Simple!$B10,Python!$1:$1,0))/1000000,0)</f>
        <v>444.4</v>
      </c>
      <c r="E10" s="17">
        <f>IFERROR(INDEX(Python!$1:$1048576,MATCH(DCF_Simple!E$1,Python!$A:$A,0),MATCH(DCF_Simple!$B10,Python!$1:$1,0))/1000000,0)</f>
        <v>432.3</v>
      </c>
      <c r="F10" s="17">
        <f>IFERROR(INDEX(Python!$1:$1048576,MATCH(DCF_Simple!F$1,Python!$A:$A,0),MATCH(DCF_Simple!$B10,Python!$1:$1,0))/1000000,0)</f>
        <v>427.5</v>
      </c>
      <c r="G10" s="17">
        <f>IFERROR(INDEX(Python!$1:$1048576,MATCH(DCF_Simple!G$1,Python!$A:$A,0),MATCH(DCF_Simple!$B10,Python!$1:$1,0))/1000000,0)</f>
        <v>423.9</v>
      </c>
      <c r="H10" s="17">
        <f>IFERROR(INDEX(Python!$1:$1048576,MATCH(DCF_Simple!H$1,Python!$A:$A,0),MATCH(DCF_Simple!$B10,Python!$1:$1,0))/1000000,0)</f>
        <v>423.6</v>
      </c>
      <c r="I10" s="17">
        <f>IFERROR(INDEX(Python!$1:$1048576,MATCH(DCF_Simple!I$1,Python!$A:$A,0),MATCH(DCF_Simple!$B10,Python!$1:$1,0))/1000000,0)</f>
        <v>416.4</v>
      </c>
      <c r="J10" s="17">
        <f>IFERROR(INDEX(Python!$1:$1048576,MATCH(DCF_Simple!J$1,Python!$A:$A,0),MATCH(DCF_Simple!$B10,Python!$1:$1,0))/1000000,0)</f>
        <v>407.7</v>
      </c>
      <c r="K10" s="68">
        <f>IFERROR(INDEX(Python!$1:$1048576,MATCH(DCF_Simple!K$1,Python!$A:$A,0),MATCH(DCF_Simple!$B10,Python!$1:$1,0))/1000000,0)</f>
        <v>403.2</v>
      </c>
      <c r="L10" s="17">
        <f t="shared" ref="L10:U10" si="8">K10*(1+L11)</f>
        <v>397.64805371168842</v>
      </c>
      <c r="M10" s="17">
        <f t="shared" si="8"/>
        <v>392.1725561029113</v>
      </c>
      <c r="N10" s="17">
        <f t="shared" si="8"/>
        <v>386.7724544976702</v>
      </c>
      <c r="O10" s="17">
        <f t="shared" si="8"/>
        <v>381.44671071500778</v>
      </c>
      <c r="P10" s="17">
        <f t="shared" si="8"/>
        <v>376.19430086941543</v>
      </c>
      <c r="Q10" s="17">
        <f t="shared" si="8"/>
        <v>371.01421517398904</v>
      </c>
      <c r="R10" s="17">
        <f t="shared" si="8"/>
        <v>365.90545774629544</v>
      </c>
      <c r="S10" s="17">
        <f t="shared" si="8"/>
        <v>360.86704641691182</v>
      </c>
      <c r="T10" s="17">
        <f t="shared" si="8"/>
        <v>355.89801254060148</v>
      </c>
      <c r="U10" s="17">
        <f t="shared" si="8"/>
        <v>350.99740081008997</v>
      </c>
      <c r="V10" s="69">
        <f>U10</f>
        <v>350.99740081008997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-2.7227722772277141E-2</v>
      </c>
      <c r="F11" s="42">
        <f t="shared" si="9"/>
        <v>-1.1103400416377585E-2</v>
      </c>
      <c r="G11" s="42">
        <f t="shared" si="9"/>
        <v>-8.4210526315789958E-3</v>
      </c>
      <c r="H11" s="42">
        <f t="shared" si="9"/>
        <v>-7.0771408351011367E-4</v>
      </c>
      <c r="I11" s="42">
        <f t="shared" si="9"/>
        <v>-1.6997167138810276E-2</v>
      </c>
      <c r="J11" s="42">
        <f t="shared" si="9"/>
        <v>-2.089337175792505E-2</v>
      </c>
      <c r="K11" s="57">
        <f t="shared" si="9"/>
        <v>-1.103752759381893E-2</v>
      </c>
      <c r="L11" s="66">
        <f>AVERAGE(E11:K11)</f>
        <v>-1.3769708056328298E-2</v>
      </c>
      <c r="M11" s="66">
        <f t="shared" ref="L11:U11" si="10">L11</f>
        <v>-1.3769708056328298E-2</v>
      </c>
      <c r="N11" s="66">
        <f t="shared" si="10"/>
        <v>-1.3769708056328298E-2</v>
      </c>
      <c r="O11" s="66">
        <f t="shared" si="10"/>
        <v>-1.3769708056328298E-2</v>
      </c>
      <c r="P11" s="66">
        <f t="shared" si="10"/>
        <v>-1.3769708056328298E-2</v>
      </c>
      <c r="Q11" s="66">
        <f t="shared" si="10"/>
        <v>-1.3769708056328298E-2</v>
      </c>
      <c r="R11" s="66">
        <f t="shared" si="10"/>
        <v>-1.3769708056328298E-2</v>
      </c>
      <c r="S11" s="66">
        <f t="shared" si="10"/>
        <v>-1.3769708056328298E-2</v>
      </c>
      <c r="T11" s="66">
        <f t="shared" si="10"/>
        <v>-1.3769708056328298E-2</v>
      </c>
      <c r="U11" s="66">
        <f t="shared" si="10"/>
        <v>-1.3769708056328298E-2</v>
      </c>
      <c r="V11" s="67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8" t="s">
        <v>23</v>
      </c>
      <c r="C13" s="52"/>
      <c r="D13" s="52">
        <f t="shared" ref="D13:K13" si="11">IFERROR(D7/D10,0)</f>
        <v>3.8231323132313233</v>
      </c>
      <c r="E13" s="52">
        <f t="shared" si="11"/>
        <v>3.9694656488549618</v>
      </c>
      <c r="F13" s="52">
        <f t="shared" si="11"/>
        <v>4.1614035087719294</v>
      </c>
      <c r="G13" s="52">
        <f t="shared" si="11"/>
        <v>4.5553196508610521</v>
      </c>
      <c r="H13" s="52">
        <f t="shared" si="11"/>
        <v>6.000944287063267</v>
      </c>
      <c r="I13" s="52">
        <f t="shared" si="11"/>
        <v>5.4610951008645534</v>
      </c>
      <c r="J13" s="52">
        <f t="shared" si="11"/>
        <v>3.6938925680647534</v>
      </c>
      <c r="K13" s="58">
        <f t="shared" si="11"/>
        <v>5.2480158730158735</v>
      </c>
      <c r="L13" s="52">
        <f t="shared" ref="L13:U13" si="12">L7/L10</f>
        <v>6.5138545010007931</v>
      </c>
      <c r="M13" s="52">
        <f t="shared" si="12"/>
        <v>6.995672403511179</v>
      </c>
      <c r="N13" s="52">
        <f t="shared" si="12"/>
        <v>7.5131294949447813</v>
      </c>
      <c r="O13" s="52">
        <f t="shared" si="12"/>
        <v>8.0688619409162161</v>
      </c>
      <c r="P13" s="52">
        <f t="shared" si="12"/>
        <v>8.6657008993886251</v>
      </c>
      <c r="Q13" s="52">
        <f t="shared" si="12"/>
        <v>9.3066869439010276</v>
      </c>
      <c r="R13" s="52">
        <f t="shared" si="12"/>
        <v>9.9950855536553966</v>
      </c>
      <c r="S13" s="52">
        <f t="shared" si="12"/>
        <v>10.734403749377178</v>
      </c>
      <c r="T13" s="52">
        <f t="shared" si="12"/>
        <v>11.528407959699944</v>
      </c>
      <c r="U13" s="52">
        <f t="shared" si="12"/>
        <v>12.381143209093869</v>
      </c>
      <c r="V13" s="70">
        <f>U13*(1+WACC!$B$13)/(WACC!$B$14-WACC!$B$13)</f>
        <v>554.24965323051435</v>
      </c>
    </row>
    <row r="14" spans="2:22" ht="15.75" customHeight="1" thickBot="1" x14ac:dyDescent="0.3">
      <c r="B14" s="49" t="s">
        <v>24</v>
      </c>
      <c r="C14" s="50"/>
      <c r="D14" s="50"/>
      <c r="E14" s="50"/>
      <c r="F14" s="50"/>
      <c r="G14" s="50"/>
      <c r="H14" s="50"/>
      <c r="I14" s="50"/>
      <c r="J14" s="50"/>
      <c r="K14" s="59"/>
      <c r="L14" s="61">
        <f>L13/((1+WACC!$B$14)^(L3-$K$3))</f>
        <v>6.246591948752056</v>
      </c>
      <c r="M14" s="61">
        <f>M13/((1+WACC!$B$14)^(M3-$K$3))</f>
        <v>6.4333863165962581</v>
      </c>
      <c r="N14" s="61">
        <f>N13/((1+WACC!$B$14)^(N3-$K$3))</f>
        <v>6.6257664720418559</v>
      </c>
      <c r="O14" s="61">
        <f>O13/((1+WACC!$B$14)^(O3-$K$3))</f>
        <v>6.823899449156781</v>
      </c>
      <c r="P14" s="61">
        <f>P13/((1+WACC!$B$14)^(P3-$K$3))</f>
        <v>7.0279572768963199</v>
      </c>
      <c r="Q14" s="61">
        <f>Q13/((1+WACC!$B$14)^(Q3-$K$3))</f>
        <v>7.2381171284672527</v>
      </c>
      <c r="R14" s="61">
        <f>R13/((1+WACC!$B$14)^(R3-$K$3))</f>
        <v>7.4545614751584823</v>
      </c>
      <c r="S14" s="61">
        <f>S13/((1+WACC!$B$14)^(S3-$K$3))</f>
        <v>7.6774782447717369</v>
      </c>
      <c r="T14" s="61">
        <f>T13/((1+WACC!$B$14)^(T3-$K$3))</f>
        <v>7.9070609847898767</v>
      </c>
      <c r="U14" s="61">
        <f>U13/((1+WACC!$B$14)^(U3-$K$3))</f>
        <v>8.1435090304244966</v>
      </c>
      <c r="V14" s="62">
        <f>V13/((1+WACC!$B$14)^(U3-$K$3))</f>
        <v>364.5492972633719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364.5492972633719</v>
      </c>
      <c r="L17" s="16">
        <f>C17/$C$19</f>
        <v>0.8358775639810645</v>
      </c>
      <c r="O17" s="18"/>
    </row>
    <row r="18" spans="2:22" x14ac:dyDescent="0.25">
      <c r="B18" s="8" t="s">
        <v>26</v>
      </c>
      <c r="C18" s="32">
        <f>SUM(14:14)-V14</f>
        <v>71.57832832705509</v>
      </c>
      <c r="K18" s="3"/>
      <c r="L18" s="16">
        <f>C18/$C$19</f>
        <v>0.16412243601893545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436.12762559042699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Python!E3/1000000/K10</f>
        <v>2.3660714285714288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40.925099206349209</v>
      </c>
      <c r="F21" s="14"/>
      <c r="G21" s="14"/>
      <c r="H21" s="14"/>
    </row>
    <row r="22" spans="2:22" ht="15.75" customHeight="1" thickBot="1" x14ac:dyDescent="0.3">
      <c r="B22" s="34" t="s">
        <v>30</v>
      </c>
      <c r="C22" s="60">
        <f>C19+C20-C21</f>
        <v>397.56859781264922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3"/>
  <sheetViews>
    <sheetView workbookViewId="0"/>
  </sheetViews>
  <sheetFormatPr defaultRowHeight="15" x14ac:dyDescent="0.25"/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6.0804155444401653E-2</v>
      </c>
    </row>
    <row r="3" spans="1:6" x14ac:dyDescent="0.25">
      <c r="A3" s="72" t="s">
        <v>34</v>
      </c>
      <c r="B3">
        <v>20976000000</v>
      </c>
      <c r="C3">
        <v>2116000000</v>
      </c>
      <c r="D3">
        <v>403200000</v>
      </c>
      <c r="E3">
        <v>954000000</v>
      </c>
      <c r="F3">
        <v>6.0583034186364459E-2</v>
      </c>
    </row>
    <row r="4" spans="1:6" x14ac:dyDescent="0.25">
      <c r="A4" s="72" t="s">
        <v>35</v>
      </c>
      <c r="B4">
        <v>20693000000</v>
      </c>
      <c r="C4">
        <v>2139000000</v>
      </c>
      <c r="D4">
        <v>403500000</v>
      </c>
      <c r="E4">
        <v>356000000</v>
      </c>
      <c r="F4">
        <v>6.611712305805395E-2</v>
      </c>
    </row>
    <row r="5" spans="1:6" x14ac:dyDescent="0.25">
      <c r="A5" s="72" t="s">
        <v>36</v>
      </c>
      <c r="B5">
        <v>20426000000</v>
      </c>
      <c r="C5">
        <v>1824000000</v>
      </c>
      <c r="D5">
        <v>404200000</v>
      </c>
      <c r="E5">
        <v>458000000</v>
      </c>
      <c r="F5">
        <v>5.2470111448834837E-2</v>
      </c>
    </row>
    <row r="6" spans="1:6" x14ac:dyDescent="0.25">
      <c r="A6" s="72" t="s">
        <v>37</v>
      </c>
      <c r="B6">
        <v>20144000000</v>
      </c>
      <c r="C6">
        <v>1671000000</v>
      </c>
      <c r="D6">
        <v>405900000</v>
      </c>
      <c r="E6">
        <v>150000000</v>
      </c>
      <c r="F6">
        <v>3.8884729064039503E-2</v>
      </c>
    </row>
    <row r="7" spans="1:6" x14ac:dyDescent="0.25">
      <c r="A7" s="72" t="s">
        <v>38</v>
      </c>
      <c r="B7">
        <v>20021000000</v>
      </c>
      <c r="C7">
        <v>1506000000</v>
      </c>
      <c r="D7">
        <v>407700000</v>
      </c>
      <c r="E7">
        <v>144000000</v>
      </c>
      <c r="F7">
        <v>5.8899940322259869E-2</v>
      </c>
    </row>
    <row r="8" spans="1:6" x14ac:dyDescent="0.25">
      <c r="A8" s="72" t="s">
        <v>39</v>
      </c>
      <c r="B8">
        <v>19929000000</v>
      </c>
      <c r="C8">
        <v>1493000000</v>
      </c>
      <c r="D8">
        <v>409000000</v>
      </c>
      <c r="E8">
        <v>257000000</v>
      </c>
      <c r="F8">
        <v>0.1236944861617679</v>
      </c>
    </row>
    <row r="9" spans="1:6" x14ac:dyDescent="0.25">
      <c r="A9" s="72" t="s">
        <v>40</v>
      </c>
      <c r="B9">
        <v>19698000000</v>
      </c>
      <c r="C9">
        <v>1949000000</v>
      </c>
      <c r="D9">
        <v>411500000</v>
      </c>
      <c r="E9">
        <v>351000000</v>
      </c>
      <c r="F9">
        <v>6.1742197520307851E-2</v>
      </c>
    </row>
    <row r="10" spans="1:6" x14ac:dyDescent="0.25">
      <c r="A10" s="72" t="s">
        <v>41</v>
      </c>
      <c r="B10">
        <v>19441000000</v>
      </c>
      <c r="C10">
        <v>1979000000</v>
      </c>
      <c r="D10">
        <v>414300000</v>
      </c>
      <c r="E10">
        <v>137000000</v>
      </c>
    </row>
    <row r="11" spans="1:6" x14ac:dyDescent="0.25">
      <c r="A11" s="72" t="s">
        <v>42</v>
      </c>
      <c r="B11">
        <v>19031000000</v>
      </c>
      <c r="C11">
        <v>2274000000</v>
      </c>
      <c r="D11">
        <v>416400000</v>
      </c>
      <c r="E11">
        <v>894000000</v>
      </c>
    </row>
    <row r="12" spans="1:6" x14ac:dyDescent="0.25">
      <c r="A12" s="72" t="s">
        <v>43</v>
      </c>
      <c r="B12">
        <v>18480000000</v>
      </c>
      <c r="C12">
        <v>2424000000</v>
      </c>
      <c r="D12">
        <v>417800000</v>
      </c>
      <c r="E12">
        <v>155000000</v>
      </c>
      <c r="F12">
        <v>-1.563459970817116E-2</v>
      </c>
    </row>
    <row r="13" spans="1:6" x14ac:dyDescent="0.25">
      <c r="A13" s="72" t="s">
        <v>44</v>
      </c>
      <c r="B13">
        <v>17931000000</v>
      </c>
      <c r="C13">
        <v>2434000000</v>
      </c>
      <c r="D13">
        <v>420600000</v>
      </c>
      <c r="E13">
        <v>118000000</v>
      </c>
      <c r="F13">
        <v>9.1900663880009725E-2</v>
      </c>
    </row>
    <row r="14" spans="1:6" x14ac:dyDescent="0.25">
      <c r="A14" s="72" t="s">
        <v>45</v>
      </c>
      <c r="B14">
        <v>17320000000</v>
      </c>
      <c r="C14">
        <v>2576000000</v>
      </c>
      <c r="D14">
        <v>422000000</v>
      </c>
      <c r="E14">
        <v>116000000</v>
      </c>
      <c r="F14">
        <v>0.17491064491064501</v>
      </c>
    </row>
    <row r="15" spans="1:6" x14ac:dyDescent="0.25">
      <c r="A15" s="72" t="s">
        <v>46</v>
      </c>
      <c r="B15">
        <v>16516000000</v>
      </c>
      <c r="C15">
        <v>2542000000</v>
      </c>
      <c r="D15">
        <v>423600000</v>
      </c>
      <c r="E15">
        <v>148000000</v>
      </c>
      <c r="F15">
        <v>0.27326874473462509</v>
      </c>
    </row>
    <row r="16" spans="1:6" x14ac:dyDescent="0.25">
      <c r="A16" s="72" t="s">
        <v>47</v>
      </c>
      <c r="B16">
        <v>15601000000</v>
      </c>
      <c r="C16">
        <v>2315000000</v>
      </c>
      <c r="D16">
        <v>424300000</v>
      </c>
      <c r="E16">
        <v>476000000</v>
      </c>
      <c r="F16">
        <v>4.811897103781182E-2</v>
      </c>
    </row>
    <row r="17" spans="1:6" x14ac:dyDescent="0.25">
      <c r="A17" s="72" t="s">
        <v>48</v>
      </c>
      <c r="B17">
        <v>15218000000</v>
      </c>
      <c r="C17">
        <v>1771000000</v>
      </c>
      <c r="D17">
        <v>425100000</v>
      </c>
      <c r="E17">
        <v>553000000</v>
      </c>
      <c r="F17">
        <v>3.1588663546541877E-2</v>
      </c>
    </row>
    <row r="18" spans="1:6" x14ac:dyDescent="0.25">
      <c r="A18" s="72" t="s">
        <v>49</v>
      </c>
      <c r="B18">
        <v>14997000000</v>
      </c>
      <c r="C18">
        <v>2148000000</v>
      </c>
      <c r="D18">
        <v>424600000</v>
      </c>
      <c r="E18">
        <v>703000000</v>
      </c>
      <c r="F18">
        <v>-8.9224635492815785E-2</v>
      </c>
    </row>
    <row r="19" spans="1:6" x14ac:dyDescent="0.25">
      <c r="A19" s="72" t="s">
        <v>50</v>
      </c>
      <c r="B19">
        <v>15103000000</v>
      </c>
      <c r="C19">
        <v>1931000000</v>
      </c>
      <c r="D19">
        <v>423900000</v>
      </c>
      <c r="E19">
        <v>2663000000</v>
      </c>
      <c r="F19">
        <v>-0.1693515874303092</v>
      </c>
    </row>
    <row r="20" spans="1:6" x14ac:dyDescent="0.25">
      <c r="A20" s="72" t="s">
        <v>51</v>
      </c>
      <c r="B20">
        <v>15488000000</v>
      </c>
      <c r="C20">
        <v>1943000000</v>
      </c>
      <c r="D20">
        <v>426400000</v>
      </c>
      <c r="E20">
        <v>3125000000</v>
      </c>
      <c r="F20">
        <v>-1.920123106060601E-3</v>
      </c>
    </row>
    <row r="21" spans="1:6" x14ac:dyDescent="0.25">
      <c r="A21" s="72" t="s">
        <v>52</v>
      </c>
      <c r="B21">
        <v>15455000000</v>
      </c>
      <c r="C21">
        <v>2056000000</v>
      </c>
      <c r="D21">
        <v>427400000</v>
      </c>
      <c r="E21">
        <v>3561000000</v>
      </c>
      <c r="F21">
        <v>-3.2607316762103038E-2</v>
      </c>
    </row>
    <row r="22" spans="1:6" x14ac:dyDescent="0.25">
      <c r="A22" s="72" t="s">
        <v>53</v>
      </c>
      <c r="B22">
        <v>15451000000</v>
      </c>
      <c r="C22">
        <v>1778000000</v>
      </c>
      <c r="D22">
        <v>427400000</v>
      </c>
      <c r="E22">
        <v>2915000000</v>
      </c>
      <c r="F22">
        <v>-5.6725989010989464E-3</v>
      </c>
    </row>
    <row r="23" spans="1:6" x14ac:dyDescent="0.25">
      <c r="A23" s="72" t="s">
        <v>54</v>
      </c>
      <c r="B23">
        <v>15306000000</v>
      </c>
      <c r="C23">
        <v>1779000000</v>
      </c>
      <c r="D23">
        <v>427500000</v>
      </c>
      <c r="E23">
        <v>2250000000</v>
      </c>
      <c r="F23">
        <v>2.6839088258892699E-2</v>
      </c>
    </row>
    <row r="24" spans="1:6" x14ac:dyDescent="0.25">
      <c r="A24" s="72" t="s">
        <v>55</v>
      </c>
      <c r="B24">
        <v>15099000000</v>
      </c>
      <c r="C24">
        <v>1886000000</v>
      </c>
      <c r="D24">
        <v>426900000</v>
      </c>
      <c r="E24">
        <v>57000000</v>
      </c>
      <c r="F24">
        <v>3.029384847621763E-2</v>
      </c>
    </row>
    <row r="25" spans="1:6" x14ac:dyDescent="0.25">
      <c r="A25" s="72" t="s">
        <v>56</v>
      </c>
      <c r="B25">
        <v>14914000000</v>
      </c>
      <c r="C25">
        <v>1876000000</v>
      </c>
      <c r="D25">
        <v>428500000</v>
      </c>
      <c r="E25">
        <v>61000000</v>
      </c>
      <c r="F25">
        <v>-1.314348302300106E-2</v>
      </c>
    </row>
    <row r="26" spans="1:6" x14ac:dyDescent="0.25">
      <c r="A26" s="72" t="s">
        <v>57</v>
      </c>
      <c r="B26">
        <v>14724000000</v>
      </c>
      <c r="C26">
        <v>1680000000</v>
      </c>
      <c r="D26">
        <v>430800000</v>
      </c>
      <c r="E26">
        <v>83000000</v>
      </c>
      <c r="F26">
        <v>-7.2494970398278014E-3</v>
      </c>
    </row>
    <row r="27" spans="1:6" x14ac:dyDescent="0.25">
      <c r="A27" s="72" t="s">
        <v>58</v>
      </c>
      <c r="B27">
        <v>14618000000</v>
      </c>
      <c r="C27">
        <v>1716000000</v>
      </c>
      <c r="D27">
        <v>432300000</v>
      </c>
      <c r="E27">
        <v>47000000</v>
      </c>
      <c r="F27">
        <v>-3.2743007886864022E-3</v>
      </c>
    </row>
    <row r="28" spans="1:6" x14ac:dyDescent="0.25">
      <c r="A28" s="72" t="s">
        <v>59</v>
      </c>
      <c r="B28">
        <v>14556000000</v>
      </c>
      <c r="C28">
        <v>1691000000</v>
      </c>
      <c r="D28">
        <v>435800000</v>
      </c>
      <c r="E28">
        <v>52000000</v>
      </c>
      <c r="F28">
        <v>-6.9087017732558098E-2</v>
      </c>
    </row>
    <row r="29" spans="1:6" x14ac:dyDescent="0.25">
      <c r="A29" s="72" t="s">
        <v>60</v>
      </c>
      <c r="B29">
        <v>14485000000</v>
      </c>
      <c r="C29">
        <v>1671000000</v>
      </c>
      <c r="D29">
        <v>437700000</v>
      </c>
      <c r="E29">
        <v>22000000</v>
      </c>
      <c r="F29">
        <v>3.0656239306358302E-2</v>
      </c>
    </row>
    <row r="30" spans="1:6" x14ac:dyDescent="0.25">
      <c r="A30" s="72" t="s">
        <v>61</v>
      </c>
      <c r="B30">
        <v>14293000000</v>
      </c>
      <c r="C30">
        <v>1785000000</v>
      </c>
      <c r="D30">
        <v>440800000</v>
      </c>
      <c r="E30">
        <v>35000000</v>
      </c>
      <c r="F30">
        <v>2.407616178128524E-2</v>
      </c>
    </row>
    <row r="31" spans="1:6" x14ac:dyDescent="0.25">
      <c r="A31" s="72" t="s">
        <v>62</v>
      </c>
      <c r="B31">
        <v>14125000000</v>
      </c>
      <c r="C31">
        <v>1699000000</v>
      </c>
      <c r="D31">
        <v>444400000</v>
      </c>
      <c r="E31">
        <v>32000000</v>
      </c>
      <c r="F31">
        <v>7.357664233576644E-2</v>
      </c>
    </row>
    <row r="32" spans="1:6" x14ac:dyDescent="0.25">
      <c r="A32" s="72" t="s">
        <v>63</v>
      </c>
      <c r="B32">
        <v>13873000000</v>
      </c>
      <c r="C32">
        <v>1621000000</v>
      </c>
      <c r="D32">
        <v>444100000</v>
      </c>
      <c r="E32">
        <v>30000000</v>
      </c>
      <c r="F32">
        <v>8.3123425692695152E-2</v>
      </c>
    </row>
    <row r="33" spans="1:6" x14ac:dyDescent="0.25">
      <c r="A33" s="72" t="s">
        <v>64</v>
      </c>
      <c r="B33">
        <v>13609000000</v>
      </c>
      <c r="C33">
        <v>1621000000</v>
      </c>
      <c r="D33">
        <v>444200000</v>
      </c>
      <c r="E33">
        <v>32000000</v>
      </c>
      <c r="F33">
        <v>7.9952654035736259E-2</v>
      </c>
    </row>
    <row r="34" spans="1:6" x14ac:dyDescent="0.25">
      <c r="A34" s="72" t="s">
        <v>65</v>
      </c>
      <c r="B34">
        <v>13395000000</v>
      </c>
      <c r="C34">
        <v>1402000000</v>
      </c>
      <c r="D34">
        <v>445700000</v>
      </c>
      <c r="E34">
        <v>30000000</v>
      </c>
      <c r="F34">
        <v>5.6689342261904141E-3</v>
      </c>
    </row>
    <row r="35" spans="1:6" x14ac:dyDescent="0.25">
      <c r="A35" s="72" t="s">
        <v>66</v>
      </c>
      <c r="B35">
        <v>13207000000</v>
      </c>
      <c r="C35">
        <v>1304000000</v>
      </c>
      <c r="D35">
        <v>446700000</v>
      </c>
      <c r="E35">
        <v>39000000</v>
      </c>
      <c r="F35">
        <v>-8.7032736048265891E-3</v>
      </c>
    </row>
    <row r="36" spans="1:6" x14ac:dyDescent="0.25">
      <c r="A36" s="72" t="s">
        <v>67</v>
      </c>
      <c r="B36">
        <v>13097000000</v>
      </c>
      <c r="C36">
        <v>1388000000</v>
      </c>
      <c r="D36">
        <v>448600000</v>
      </c>
      <c r="E36">
        <v>104000000</v>
      </c>
      <c r="F36">
        <v>-9.3012707236842518E-3</v>
      </c>
    </row>
    <row r="37" spans="1:6" x14ac:dyDescent="0.25">
      <c r="A37" s="72" t="s">
        <v>68</v>
      </c>
      <c r="B37">
        <v>12961000000</v>
      </c>
      <c r="C37">
        <v>1265000000</v>
      </c>
      <c r="D37">
        <v>450600000</v>
      </c>
      <c r="E37">
        <v>39000000</v>
      </c>
      <c r="F37">
        <v>-9.5477139947628742E-2</v>
      </c>
    </row>
    <row r="38" spans="1:6" x14ac:dyDescent="0.25">
      <c r="A38" s="72" t="s">
        <v>69</v>
      </c>
      <c r="B38">
        <v>13152000000</v>
      </c>
      <c r="C38">
        <v>1258000000</v>
      </c>
      <c r="D38">
        <v>452700000</v>
      </c>
      <c r="E38">
        <v>113000000</v>
      </c>
      <c r="F38">
        <v>-0.1169350360910605</v>
      </c>
    </row>
    <row r="39" spans="1:6" x14ac:dyDescent="0.25">
      <c r="A39" s="72" t="s">
        <v>70</v>
      </c>
      <c r="B39">
        <v>13394000000</v>
      </c>
      <c r="C39">
        <v>1301000000</v>
      </c>
      <c r="D39">
        <v>458000000</v>
      </c>
      <c r="E39">
        <v>273000000</v>
      </c>
      <c r="F39">
        <v>-0.12465892951418139</v>
      </c>
    </row>
    <row r="40" spans="1:6" x14ac:dyDescent="0.25">
      <c r="A40" s="72" t="s">
        <v>71</v>
      </c>
      <c r="B40">
        <v>13640000000</v>
      </c>
      <c r="C40">
        <v>1128000000</v>
      </c>
      <c r="D40">
        <v>458500000</v>
      </c>
      <c r="E40">
        <v>277000000</v>
      </c>
      <c r="F40">
        <v>-0.1230980026501767</v>
      </c>
    </row>
    <row r="41" spans="1:6" x14ac:dyDescent="0.25">
      <c r="A41" s="72" t="s">
        <v>72</v>
      </c>
      <c r="B41">
        <v>13996000000</v>
      </c>
      <c r="C41">
        <v>1180000000</v>
      </c>
      <c r="D41">
        <v>461900000</v>
      </c>
      <c r="E41">
        <v>1307000000</v>
      </c>
      <c r="F41">
        <v>-0.1205970151428571</v>
      </c>
    </row>
    <row r="42" spans="1:6" x14ac:dyDescent="0.25">
      <c r="A42" s="72" t="s">
        <v>73</v>
      </c>
      <c r="B42">
        <v>14059000000</v>
      </c>
      <c r="C42">
        <v>1180000000</v>
      </c>
      <c r="D42">
        <v>463600000</v>
      </c>
      <c r="E42">
        <v>183000000</v>
      </c>
      <c r="F42">
        <v>-6.0511215686274489E-2</v>
      </c>
    </row>
    <row r="43" spans="1:6" x14ac:dyDescent="0.25">
      <c r="A43" s="72" t="s">
        <v>74</v>
      </c>
      <c r="B43">
        <v>14078000000</v>
      </c>
      <c r="C43">
        <v>1228000000</v>
      </c>
      <c r="D43">
        <v>468000000</v>
      </c>
      <c r="E43">
        <v>137000000</v>
      </c>
      <c r="F43">
        <v>-6.9058423142370762E-3</v>
      </c>
    </row>
    <row r="44" spans="1:6" x14ac:dyDescent="0.25">
      <c r="A44" s="72" t="s">
        <v>75</v>
      </c>
      <c r="B44">
        <v>14043000000</v>
      </c>
      <c r="C44">
        <v>1191000000</v>
      </c>
      <c r="D44">
        <v>466900000</v>
      </c>
      <c r="E44">
        <v>339000000</v>
      </c>
      <c r="F44">
        <v>-8.5890471522781731E-2</v>
      </c>
    </row>
    <row r="45" spans="1:6" x14ac:dyDescent="0.25">
      <c r="A45" s="72" t="s">
        <v>76</v>
      </c>
      <c r="B45">
        <v>13983000000</v>
      </c>
      <c r="C45">
        <v>1184000000</v>
      </c>
      <c r="D45">
        <v>466900000</v>
      </c>
      <c r="E45">
        <v>235000000</v>
      </c>
      <c r="F45">
        <v>0.1102213159580665</v>
      </c>
    </row>
    <row r="46" spans="1:6" x14ac:dyDescent="0.25">
      <c r="A46" s="72" t="s">
        <v>77</v>
      </c>
      <c r="B46">
        <v>13917000000</v>
      </c>
      <c r="C46">
        <v>1233000000</v>
      </c>
      <c r="D46">
        <v>471200000</v>
      </c>
      <c r="E46">
        <v>157000000</v>
      </c>
      <c r="F46">
        <v>-2.0580979485698152E-3</v>
      </c>
    </row>
    <row r="47" spans="1:6" x14ac:dyDescent="0.25">
      <c r="A47" s="72" t="s">
        <v>78</v>
      </c>
      <c r="B47">
        <v>13757000000</v>
      </c>
      <c r="C47">
        <v>992000000</v>
      </c>
      <c r="D47">
        <v>469400000</v>
      </c>
      <c r="E47">
        <v>154000000</v>
      </c>
      <c r="F47">
        <v>3.8246977739230907E-2</v>
      </c>
    </row>
    <row r="48" spans="1:6" x14ac:dyDescent="0.25">
      <c r="A48" s="72" t="s">
        <v>79</v>
      </c>
      <c r="B48">
        <v>13690000000</v>
      </c>
      <c r="C48">
        <v>1000000000</v>
      </c>
      <c r="D48">
        <v>466500000</v>
      </c>
      <c r="E48">
        <v>307000000</v>
      </c>
      <c r="F48">
        <v>3.7754172685887648E-2</v>
      </c>
    </row>
    <row r="49" spans="1:6" x14ac:dyDescent="0.25">
      <c r="A49" s="72" t="s">
        <v>80</v>
      </c>
      <c r="B49">
        <v>13649000000</v>
      </c>
      <c r="C49">
        <v>785000000</v>
      </c>
      <c r="D49">
        <v>466500000</v>
      </c>
      <c r="E49">
        <v>194000000</v>
      </c>
      <c r="F49">
        <v>6.1285038755138022E-2</v>
      </c>
    </row>
    <row r="50" spans="1:6" x14ac:dyDescent="0.25">
      <c r="A50" s="72" t="s">
        <v>81</v>
      </c>
      <c r="B50">
        <v>13621000000</v>
      </c>
      <c r="C50">
        <v>903000000</v>
      </c>
      <c r="D50">
        <v>464900000</v>
      </c>
      <c r="E50">
        <v>398000000</v>
      </c>
      <c r="F50">
        <v>-3.3429217773992097E-2</v>
      </c>
    </row>
    <row r="51" spans="1:6" x14ac:dyDescent="0.25">
      <c r="A51" s="72" t="s">
        <v>82</v>
      </c>
      <c r="B51">
        <v>13682000000</v>
      </c>
      <c r="C51">
        <v>1077000000</v>
      </c>
      <c r="D51">
        <v>464000000</v>
      </c>
      <c r="E51">
        <v>237000000</v>
      </c>
      <c r="F51">
        <v>3.3462802509710121E-2</v>
      </c>
    </row>
    <row r="52" spans="1:6" x14ac:dyDescent="0.25">
      <c r="A52" s="72" t="s">
        <v>83</v>
      </c>
      <c r="B52">
        <v>13570000000</v>
      </c>
      <c r="C52">
        <v>957000000</v>
      </c>
      <c r="D52">
        <v>463400000</v>
      </c>
      <c r="E52">
        <v>189000000</v>
      </c>
      <c r="F52">
        <v>0.1177637937479858</v>
      </c>
    </row>
    <row r="53" spans="1:6" x14ac:dyDescent="0.25">
      <c r="A53" s="72" t="s">
        <v>84</v>
      </c>
      <c r="B53">
        <v>13378000000</v>
      </c>
      <c r="C53">
        <v>1145000000</v>
      </c>
      <c r="D53">
        <v>463400000</v>
      </c>
      <c r="E53">
        <v>258000000</v>
      </c>
      <c r="F53">
        <v>6.8716661437088211E-2</v>
      </c>
    </row>
    <row r="54" spans="1:6" x14ac:dyDescent="0.25">
      <c r="A54" s="72" t="s">
        <v>85</v>
      </c>
      <c r="B54">
        <v>13159000000</v>
      </c>
      <c r="C54">
        <v>1083000000</v>
      </c>
      <c r="D54">
        <v>469700000</v>
      </c>
      <c r="E54">
        <v>282000000</v>
      </c>
      <c r="F54">
        <v>5.4154706646058808E-2</v>
      </c>
    </row>
    <row r="55" spans="1:6" x14ac:dyDescent="0.25">
      <c r="A55" s="72" t="s">
        <v>86</v>
      </c>
      <c r="B55">
        <v>12872000000</v>
      </c>
      <c r="C55">
        <v>1152000000</v>
      </c>
      <c r="D55">
        <v>476000000</v>
      </c>
      <c r="E55">
        <v>371000000</v>
      </c>
      <c r="F55">
        <v>0.1658328055731475</v>
      </c>
    </row>
    <row r="56" spans="1:6" x14ac:dyDescent="0.25">
      <c r="A56" s="72" t="s">
        <v>87</v>
      </c>
      <c r="B56">
        <v>12683000000</v>
      </c>
      <c r="C56">
        <v>1214000000</v>
      </c>
      <c r="D56">
        <v>477600000</v>
      </c>
      <c r="E56">
        <v>676000000</v>
      </c>
      <c r="F56">
        <v>0.11145765076660991</v>
      </c>
    </row>
    <row r="57" spans="1:6" x14ac:dyDescent="0.25">
      <c r="A57" s="72" t="s">
        <v>88</v>
      </c>
      <c r="B57">
        <v>12515000000</v>
      </c>
      <c r="C57">
        <v>1171000000</v>
      </c>
      <c r="D57">
        <v>477600000</v>
      </c>
      <c r="E57">
        <v>539000000</v>
      </c>
      <c r="F57">
        <v>-4.5808383233532979E-2</v>
      </c>
    </row>
    <row r="58" spans="1:6" x14ac:dyDescent="0.25">
      <c r="A58" s="72" t="s">
        <v>89</v>
      </c>
      <c r="B58">
        <v>12334000000</v>
      </c>
      <c r="C58">
        <v>1280000000</v>
      </c>
      <c r="D58">
        <v>481000000</v>
      </c>
      <c r="E58">
        <v>550000000</v>
      </c>
      <c r="F58">
        <v>0.12849968408865359</v>
      </c>
    </row>
    <row r="59" spans="1:6" x14ac:dyDescent="0.25">
      <c r="A59" s="72" t="s">
        <v>90</v>
      </c>
      <c r="B59">
        <v>12122000000</v>
      </c>
      <c r="C59">
        <v>1200000000</v>
      </c>
      <c r="D59">
        <v>485800000</v>
      </c>
      <c r="E59">
        <v>1169000000</v>
      </c>
      <c r="F59">
        <v>6.9783197831978283E-2</v>
      </c>
    </row>
    <row r="60" spans="1:6" x14ac:dyDescent="0.25">
      <c r="A60" s="72" t="s">
        <v>91</v>
      </c>
      <c r="B60">
        <v>11916000000</v>
      </c>
      <c r="C60">
        <v>1230000000</v>
      </c>
      <c r="D60">
        <v>488100000</v>
      </c>
      <c r="E60">
        <v>871000000</v>
      </c>
      <c r="F60">
        <v>9.5434423843416383E-2</v>
      </c>
    </row>
    <row r="61" spans="1:6" x14ac:dyDescent="0.25">
      <c r="A61" s="72" t="s">
        <v>92</v>
      </c>
      <c r="B61">
        <v>11791000000</v>
      </c>
      <c r="C61">
        <v>1183000000</v>
      </c>
      <c r="D61">
        <v>488100000</v>
      </c>
      <c r="E61">
        <v>1140000000</v>
      </c>
      <c r="F61">
        <v>-0.1072171074646074</v>
      </c>
    </row>
    <row r="62" spans="1:6" x14ac:dyDescent="0.25">
      <c r="A62" s="72" t="s">
        <v>93</v>
      </c>
      <c r="B62">
        <v>11893000000</v>
      </c>
      <c r="C62">
        <v>1058000000</v>
      </c>
      <c r="D62">
        <v>494600000</v>
      </c>
      <c r="E62">
        <v>612000000</v>
      </c>
      <c r="F62">
        <v>-0.15829261900709221</v>
      </c>
    </row>
    <row r="63" spans="1:6" x14ac:dyDescent="0.25">
      <c r="A63" s="72" t="s">
        <v>94</v>
      </c>
      <c r="B63">
        <v>12395000000</v>
      </c>
      <c r="C63">
        <v>1193000000</v>
      </c>
      <c r="D63">
        <v>493700000</v>
      </c>
      <c r="E63">
        <v>528000000</v>
      </c>
      <c r="F63">
        <v>-0.1213704611636572</v>
      </c>
    </row>
    <row r="64" spans="1:6" x14ac:dyDescent="0.25">
      <c r="A64" s="72" t="s">
        <v>95</v>
      </c>
      <c r="B64">
        <v>12932000000</v>
      </c>
      <c r="C64">
        <v>1200000000</v>
      </c>
      <c r="D64">
        <v>493000000</v>
      </c>
      <c r="E64">
        <v>947000000</v>
      </c>
      <c r="F64">
        <v>-0.16010556093080219</v>
      </c>
    </row>
    <row r="65" spans="1:6" x14ac:dyDescent="0.25">
      <c r="A65" s="72" t="s">
        <v>96</v>
      </c>
      <c r="B65">
        <v>13388000000</v>
      </c>
      <c r="C65">
        <v>1354000000</v>
      </c>
      <c r="D65">
        <v>493000000</v>
      </c>
      <c r="E65">
        <v>480000000</v>
      </c>
      <c r="F65">
        <v>-9.414715025290088E-2</v>
      </c>
    </row>
    <row r="66" spans="1:6" x14ac:dyDescent="0.25">
      <c r="A66" s="72" t="s">
        <v>97</v>
      </c>
      <c r="B66">
        <v>13641000000</v>
      </c>
      <c r="C66">
        <v>1218000000</v>
      </c>
      <c r="D66">
        <v>494100000</v>
      </c>
      <c r="E66">
        <v>504000000</v>
      </c>
      <c r="F66">
        <v>1.940864501910089E-2</v>
      </c>
    </row>
    <row r="67" spans="1:6" x14ac:dyDescent="0.25">
      <c r="A67" s="72" t="s">
        <v>98</v>
      </c>
      <c r="B67">
        <v>13519000000</v>
      </c>
      <c r="C67">
        <v>1279000000</v>
      </c>
      <c r="D67">
        <v>494600000</v>
      </c>
      <c r="E67">
        <v>210000000</v>
      </c>
      <c r="F67">
        <v>-2.695765634306135E-2</v>
      </c>
    </row>
    <row r="68" spans="1:6" x14ac:dyDescent="0.25">
      <c r="A68" s="72" t="s">
        <v>99</v>
      </c>
      <c r="B68">
        <v>13388000000</v>
      </c>
      <c r="C68">
        <v>1310000000</v>
      </c>
      <c r="D68">
        <v>498300000</v>
      </c>
      <c r="E68">
        <v>466000000</v>
      </c>
      <c r="F68">
        <v>2.6695853199498738E-3</v>
      </c>
    </row>
    <row r="69" spans="1:6" x14ac:dyDescent="0.25">
      <c r="A69" s="72" t="s">
        <v>100</v>
      </c>
      <c r="B69">
        <v>13310000000</v>
      </c>
      <c r="C69">
        <v>1228000000</v>
      </c>
      <c r="D69">
        <v>498300000</v>
      </c>
      <c r="E69">
        <v>348000000</v>
      </c>
      <c r="F69">
        <v>-3.3116729515686887E-2</v>
      </c>
    </row>
    <row r="70" spans="1:6" x14ac:dyDescent="0.25">
      <c r="A70" s="72" t="s">
        <v>101</v>
      </c>
      <c r="B70">
        <v>13232000000</v>
      </c>
      <c r="C70">
        <v>1295000000</v>
      </c>
      <c r="D70">
        <v>520100000</v>
      </c>
      <c r="E70">
        <v>537000000</v>
      </c>
      <c r="F70">
        <v>8.0526763150247094E-2</v>
      </c>
    </row>
    <row r="71" spans="1:6" x14ac:dyDescent="0.25">
      <c r="A71" s="72" t="s">
        <v>102</v>
      </c>
      <c r="B71">
        <v>13270000000</v>
      </c>
      <c r="C71">
        <v>1152000000</v>
      </c>
      <c r="D71">
        <v>528125000</v>
      </c>
      <c r="E71">
        <v>570000000</v>
      </c>
      <c r="F71">
        <v>-8.5588604985337269E-2</v>
      </c>
    </row>
    <row r="72" spans="1:6" x14ac:dyDescent="0.25">
      <c r="A72" s="72" t="s">
        <v>103</v>
      </c>
      <c r="B72">
        <v>13322000000</v>
      </c>
      <c r="C72">
        <v>1085000000</v>
      </c>
      <c r="D72">
        <v>528571429</v>
      </c>
      <c r="E72">
        <v>471000000</v>
      </c>
      <c r="F72">
        <v>-0.1734211040569836</v>
      </c>
    </row>
    <row r="73" spans="1:6" x14ac:dyDescent="0.25">
      <c r="A73" s="72" t="s">
        <v>104</v>
      </c>
      <c r="B73">
        <v>13363000000</v>
      </c>
      <c r="C73">
        <v>1211000000</v>
      </c>
      <c r="D73">
        <v>528571429</v>
      </c>
      <c r="E73">
        <v>614000000</v>
      </c>
      <c r="F73">
        <v>-4.7108856465005948E-2</v>
      </c>
    </row>
    <row r="74" spans="1:6" x14ac:dyDescent="0.25">
      <c r="A74" s="72" t="s">
        <v>105</v>
      </c>
      <c r="B74">
        <v>13452000000</v>
      </c>
      <c r="C74">
        <v>1291000000</v>
      </c>
      <c r="D74">
        <v>545454545</v>
      </c>
      <c r="E74">
        <v>746000000</v>
      </c>
      <c r="F74">
        <v>-0.1102060607407407</v>
      </c>
    </row>
    <row r="75" spans="1:6" x14ac:dyDescent="0.25">
      <c r="A75" s="72" t="s">
        <v>106</v>
      </c>
      <c r="B75">
        <v>13386000000</v>
      </c>
      <c r="C75">
        <v>1254000000</v>
      </c>
      <c r="D75">
        <v>548684211</v>
      </c>
      <c r="E75">
        <v>569000000</v>
      </c>
      <c r="F75">
        <v>-9.2902268166615842E-3</v>
      </c>
    </row>
    <row r="76" spans="1:6" x14ac:dyDescent="0.25">
      <c r="A76" s="72" t="s">
        <v>107</v>
      </c>
      <c r="B76">
        <v>13265000000</v>
      </c>
      <c r="C76">
        <v>1280000000</v>
      </c>
      <c r="D76">
        <v>547058824</v>
      </c>
      <c r="E76">
        <v>454000000</v>
      </c>
      <c r="F76">
        <v>-8.8968306451612911E-2</v>
      </c>
    </row>
    <row r="77" spans="1:6" x14ac:dyDescent="0.25">
      <c r="A77" s="72" t="s">
        <v>108</v>
      </c>
      <c r="B77">
        <v>13074000000</v>
      </c>
      <c r="C77">
        <v>1211000000</v>
      </c>
      <c r="D77">
        <v>547058824</v>
      </c>
      <c r="E77">
        <v>666000000</v>
      </c>
      <c r="F77">
        <v>-8.598070043640893E-2</v>
      </c>
    </row>
    <row r="78" spans="1:6" x14ac:dyDescent="0.25">
      <c r="A78" s="72" t="s">
        <v>109</v>
      </c>
      <c r="B78">
        <v>12910000000</v>
      </c>
      <c r="C78">
        <v>1140000000</v>
      </c>
      <c r="D78">
        <v>565789474</v>
      </c>
      <c r="E78">
        <v>300000000</v>
      </c>
      <c r="F78">
        <v>-1.496640195479537E-2</v>
      </c>
    </row>
    <row r="79" spans="1:6" x14ac:dyDescent="0.25">
      <c r="A79" s="72" t="s">
        <v>110</v>
      </c>
      <c r="B79">
        <v>12809000000</v>
      </c>
      <c r="C79">
        <v>1077000000</v>
      </c>
      <c r="D79">
        <v>572826087</v>
      </c>
      <c r="E79">
        <v>481000000</v>
      </c>
      <c r="F79">
        <v>0.1032840226258764</v>
      </c>
    </row>
    <row r="80" spans="1:6" x14ac:dyDescent="0.25">
      <c r="A80" s="72" t="s">
        <v>111</v>
      </c>
      <c r="B80">
        <v>12658000000</v>
      </c>
      <c r="C80">
        <v>994000000</v>
      </c>
      <c r="D80">
        <v>576923077</v>
      </c>
      <c r="E80">
        <v>441000000</v>
      </c>
      <c r="F80">
        <v>0.12972800656077349</v>
      </c>
    </row>
    <row r="81" spans="1:6" x14ac:dyDescent="0.25">
      <c r="A81" s="72" t="s">
        <v>112</v>
      </c>
      <c r="B81">
        <v>12516000000</v>
      </c>
      <c r="C81">
        <v>960000000</v>
      </c>
      <c r="D81">
        <v>576923077</v>
      </c>
      <c r="E81">
        <v>443000000</v>
      </c>
      <c r="F81">
        <v>5.314810950134774E-2</v>
      </c>
    </row>
    <row r="82" spans="1:6" x14ac:dyDescent="0.25">
      <c r="A82" s="72" t="s">
        <v>113</v>
      </c>
      <c r="B82">
        <v>12276000000</v>
      </c>
      <c r="C82">
        <v>1019000000</v>
      </c>
      <c r="D82">
        <v>580769231</v>
      </c>
      <c r="E82">
        <v>619000000</v>
      </c>
      <c r="F82">
        <v>0.12801680638655449</v>
      </c>
    </row>
    <row r="83" spans="1:6" x14ac:dyDescent="0.25">
      <c r="A83" s="72" t="s">
        <v>114</v>
      </c>
      <c r="B83">
        <v>11977000000</v>
      </c>
      <c r="C83">
        <v>647000000</v>
      </c>
      <c r="D83">
        <v>583783784</v>
      </c>
      <c r="E83">
        <v>553000000</v>
      </c>
      <c r="F83">
        <v>7.6500857632933128E-2</v>
      </c>
    </row>
    <row r="84" spans="1:6" x14ac:dyDescent="0.25">
      <c r="A84" s="72" t="s">
        <v>115</v>
      </c>
      <c r="B84">
        <v>11754000000</v>
      </c>
      <c r="C84">
        <v>798000000</v>
      </c>
      <c r="D84">
        <v>584615385</v>
      </c>
      <c r="E84">
        <v>689000000</v>
      </c>
      <c r="F84">
        <v>0.1089248895434463</v>
      </c>
    </row>
    <row r="85" spans="1:6" x14ac:dyDescent="0.25">
      <c r="A85" s="72" t="s">
        <v>116</v>
      </c>
      <c r="B85">
        <v>11574000000</v>
      </c>
      <c r="C85">
        <v>726000000</v>
      </c>
      <c r="D85">
        <v>584615385</v>
      </c>
      <c r="E85">
        <v>135000000</v>
      </c>
      <c r="F85">
        <v>-0.1014881280227596</v>
      </c>
    </row>
    <row r="86" spans="1:6" x14ac:dyDescent="0.25">
      <c r="A86" s="72" t="s">
        <v>117</v>
      </c>
      <c r="B86">
        <v>11418000000</v>
      </c>
      <c r="C86">
        <v>741000000</v>
      </c>
      <c r="D86">
        <v>600000000</v>
      </c>
      <c r="E86">
        <v>523000000</v>
      </c>
      <c r="F86">
        <v>9.3646408839779038E-2</v>
      </c>
    </row>
    <row r="87" spans="1:6" x14ac:dyDescent="0.25">
      <c r="A87" s="72" t="s">
        <v>118</v>
      </c>
      <c r="B87">
        <v>11339000000</v>
      </c>
      <c r="C87">
        <v>1106000000</v>
      </c>
      <c r="D87">
        <v>586666667</v>
      </c>
      <c r="E87">
        <v>753000000</v>
      </c>
      <c r="F87">
        <v>0.10349557522123901</v>
      </c>
    </row>
    <row r="88" spans="1:6" x14ac:dyDescent="0.25">
      <c r="A88" s="72" t="s">
        <v>119</v>
      </c>
      <c r="B88">
        <v>11249000000</v>
      </c>
      <c r="C88">
        <v>827000000</v>
      </c>
      <c r="D88">
        <v>610000000</v>
      </c>
      <c r="E88">
        <v>381000000</v>
      </c>
      <c r="F88">
        <v>0.17679604024530479</v>
      </c>
    </row>
    <row r="89" spans="1:6" x14ac:dyDescent="0.25">
      <c r="A89" s="72" t="s">
        <v>120</v>
      </c>
      <c r="B89">
        <v>11142000000</v>
      </c>
      <c r="C89">
        <v>866000000</v>
      </c>
      <c r="D89">
        <v>610000000</v>
      </c>
      <c r="E89">
        <v>264000000</v>
      </c>
      <c r="F89">
        <v>-0.1406411365102114</v>
      </c>
    </row>
    <row r="90" spans="1:6" x14ac:dyDescent="0.25">
      <c r="A90" s="72" t="s">
        <v>121</v>
      </c>
      <c r="B90">
        <v>11121000000</v>
      </c>
      <c r="C90">
        <v>975000000</v>
      </c>
      <c r="D90">
        <v>607894737</v>
      </c>
      <c r="E90">
        <v>656000000</v>
      </c>
      <c r="F90">
        <v>-3.4518467380051382E-4</v>
      </c>
    </row>
    <row r="91" spans="1:6" x14ac:dyDescent="0.25">
      <c r="A91" s="72" t="s">
        <v>122</v>
      </c>
      <c r="B91">
        <v>11122000000</v>
      </c>
      <c r="C91">
        <v>967000000</v>
      </c>
      <c r="D91">
        <v>620000000</v>
      </c>
      <c r="E91">
        <v>720000000</v>
      </c>
      <c r="F91">
        <v>-3.087478559176671E-2</v>
      </c>
    </row>
    <row r="92" spans="1:6" x14ac:dyDescent="0.25">
      <c r="A92" s="72" t="s">
        <v>123</v>
      </c>
      <c r="B92">
        <v>11212000000</v>
      </c>
      <c r="C92">
        <v>1027000000</v>
      </c>
      <c r="D92">
        <v>627272727</v>
      </c>
      <c r="E92">
        <v>306000000</v>
      </c>
      <c r="F92">
        <v>-3.550513791835241E-3</v>
      </c>
    </row>
    <row r="93" spans="1:6" x14ac:dyDescent="0.25">
      <c r="A93" s="72" t="s">
        <v>124</v>
      </c>
      <c r="B93">
        <v>11322000000</v>
      </c>
      <c r="C93">
        <v>1027000000</v>
      </c>
      <c r="D93">
        <v>627272727</v>
      </c>
      <c r="E93">
        <v>730000000</v>
      </c>
      <c r="F93">
        <v>4.8590654123954469E-3</v>
      </c>
    </row>
    <row r="94" spans="1:6" x14ac:dyDescent="0.25">
      <c r="A94" s="72" t="s">
        <v>125</v>
      </c>
      <c r="B94">
        <v>11415331000</v>
      </c>
      <c r="C94">
        <v>727371000</v>
      </c>
      <c r="D94">
        <v>600000000</v>
      </c>
      <c r="E94">
        <v>75000000</v>
      </c>
      <c r="F94">
        <v>-4.7101859440852427E-2</v>
      </c>
    </row>
    <row r="95" spans="1:6" x14ac:dyDescent="0.25">
      <c r="A95" s="72" t="s">
        <v>126</v>
      </c>
      <c r="B95">
        <v>11642980000</v>
      </c>
      <c r="C95">
        <v>665486000</v>
      </c>
      <c r="D95">
        <v>636666667</v>
      </c>
      <c r="E95">
        <v>396000000</v>
      </c>
      <c r="F95">
        <v>-8.0343198464285392E-2</v>
      </c>
    </row>
    <row r="96" spans="1:6" x14ac:dyDescent="0.25">
      <c r="A96" s="72" t="s">
        <v>127</v>
      </c>
      <c r="B96">
        <v>11993691000</v>
      </c>
      <c r="C96">
        <v>641336000</v>
      </c>
      <c r="D96">
        <v>620000000</v>
      </c>
      <c r="E96">
        <v>887000000</v>
      </c>
      <c r="F96">
        <v>-0.11967061106036141</v>
      </c>
    </row>
    <row r="97" spans="1:6" x14ac:dyDescent="0.25">
      <c r="A97" s="72" t="s">
        <v>128</v>
      </c>
      <c r="B97">
        <v>12492000000</v>
      </c>
      <c r="C97">
        <v>812000000</v>
      </c>
      <c r="D97">
        <v>620000000</v>
      </c>
      <c r="E97">
        <v>94000000</v>
      </c>
    </row>
    <row r="98" spans="1:6" x14ac:dyDescent="0.25">
      <c r="A98" s="72" t="s">
        <v>129</v>
      </c>
      <c r="B98">
        <v>12944069000</v>
      </c>
      <c r="C98">
        <v>589529000</v>
      </c>
      <c r="D98">
        <v>621505000</v>
      </c>
      <c r="E98">
        <v>144797000</v>
      </c>
      <c r="F98">
        <v>-7.9673647315248397E-2</v>
      </c>
    </row>
    <row r="99" spans="1:6" x14ac:dyDescent="0.25">
      <c r="A99" s="72" t="s">
        <v>130</v>
      </c>
      <c r="B99">
        <v>13214520000</v>
      </c>
      <c r="C99">
        <v>85914000</v>
      </c>
      <c r="D99">
        <v>622860000</v>
      </c>
      <c r="E99">
        <v>103545000</v>
      </c>
      <c r="F99">
        <v>-5.1266456246626291E-2</v>
      </c>
    </row>
    <row r="100" spans="1:6" x14ac:dyDescent="0.25">
      <c r="A100" s="72" t="s">
        <v>131</v>
      </c>
      <c r="B100">
        <v>13283409000</v>
      </c>
      <c r="C100">
        <v>-311936000</v>
      </c>
      <c r="D100">
        <v>621542000</v>
      </c>
      <c r="E100">
        <v>147422000</v>
      </c>
      <c r="F100">
        <v>-3.2912635641242798E-2</v>
      </c>
    </row>
    <row r="101" spans="1:6" x14ac:dyDescent="0.25">
      <c r="A101" s="72" t="s">
        <v>132</v>
      </c>
      <c r="B101">
        <v>13136700000</v>
      </c>
      <c r="C101">
        <v>-926400000</v>
      </c>
      <c r="D101">
        <v>621542000</v>
      </c>
      <c r="E101">
        <v>181400000</v>
      </c>
    </row>
    <row r="102" spans="1:6" x14ac:dyDescent="0.25">
      <c r="A102" s="72" t="s">
        <v>133</v>
      </c>
      <c r="B102">
        <v>13267300000</v>
      </c>
      <c r="C102">
        <v>-1566800000</v>
      </c>
      <c r="D102">
        <v>619477124</v>
      </c>
      <c r="E102">
        <v>221900000</v>
      </c>
      <c r="F102">
        <v>0.12100529791475489</v>
      </c>
    </row>
    <row r="103" spans="1:6" x14ac:dyDescent="0.25">
      <c r="A103" s="72" t="s">
        <v>134</v>
      </c>
      <c r="B103">
        <v>13032500000</v>
      </c>
      <c r="C103">
        <v>-1131800000</v>
      </c>
      <c r="D103">
        <v>636600000</v>
      </c>
      <c r="E103">
        <v>81000000</v>
      </c>
      <c r="F103">
        <v>2.9666629489795922</v>
      </c>
    </row>
    <row r="104" spans="1:6" x14ac:dyDescent="0.25">
      <c r="A104" s="72" t="s">
        <v>135</v>
      </c>
      <c r="B104">
        <v>10579900000</v>
      </c>
      <c r="C104">
        <v>-1348600000</v>
      </c>
      <c r="D104">
        <v>628103448</v>
      </c>
      <c r="E104">
        <v>59400000</v>
      </c>
      <c r="F104">
        <v>2.8621632271900181</v>
      </c>
    </row>
    <row r="105" spans="1:6" x14ac:dyDescent="0.25">
      <c r="A105" s="72" t="s">
        <v>136</v>
      </c>
      <c r="B105">
        <v>8278700000</v>
      </c>
      <c r="C105">
        <v>-2095700000</v>
      </c>
      <c r="D105">
        <v>628103448</v>
      </c>
      <c r="E105">
        <v>86900000</v>
      </c>
      <c r="F105">
        <v>3.6323615367877049</v>
      </c>
    </row>
    <row r="106" spans="1:6" x14ac:dyDescent="0.25">
      <c r="A106" s="72" t="s">
        <v>137</v>
      </c>
      <c r="B106">
        <v>5547000000</v>
      </c>
      <c r="C106">
        <v>-3014000000</v>
      </c>
      <c r="D106">
        <v>596445498</v>
      </c>
      <c r="E106">
        <v>166200000</v>
      </c>
      <c r="F106">
        <v>3.3111490325544759</v>
      </c>
    </row>
    <row r="107" spans="1:6" x14ac:dyDescent="0.25">
      <c r="A107" s="72" t="s">
        <v>138</v>
      </c>
      <c r="B107">
        <v>3148500000</v>
      </c>
      <c r="C107">
        <v>-3114600000</v>
      </c>
      <c r="D107">
        <v>232692308</v>
      </c>
      <c r="E107">
        <v>45000000</v>
      </c>
      <c r="F107">
        <v>0.67850024850523161</v>
      </c>
    </row>
    <row r="108" spans="1:6" x14ac:dyDescent="0.25">
      <c r="A108" s="72" t="s">
        <v>139</v>
      </c>
      <c r="B108">
        <v>2801700000</v>
      </c>
      <c r="C108">
        <v>-2670800000</v>
      </c>
      <c r="D108">
        <v>219788000</v>
      </c>
      <c r="E108">
        <v>46300000</v>
      </c>
      <c r="F108">
        <v>0.78053043299534108</v>
      </c>
    </row>
    <row r="109" spans="1:6" x14ac:dyDescent="0.25">
      <c r="A109" s="72" t="s">
        <v>140</v>
      </c>
      <c r="B109">
        <v>2397200000</v>
      </c>
      <c r="C109">
        <v>-1802500000</v>
      </c>
      <c r="D109">
        <v>232692308</v>
      </c>
      <c r="E109">
        <v>51200000</v>
      </c>
      <c r="F109">
        <v>1.0984589041095889</v>
      </c>
    </row>
    <row r="110" spans="1:6" x14ac:dyDescent="0.25">
      <c r="A110" s="72" t="s">
        <v>141</v>
      </c>
      <c r="B110">
        <v>2012300000</v>
      </c>
      <c r="C110">
        <v>-163700000</v>
      </c>
      <c r="D110">
        <v>175942029</v>
      </c>
      <c r="E110">
        <v>63200000</v>
      </c>
      <c r="F110">
        <v>1.112355810657597</v>
      </c>
    </row>
    <row r="111" spans="1:6" x14ac:dyDescent="0.25">
      <c r="A111" s="72" t="s">
        <v>142</v>
      </c>
      <c r="B111">
        <v>1603300000</v>
      </c>
      <c r="C111">
        <v>-244200000</v>
      </c>
      <c r="D111">
        <v>203023256</v>
      </c>
      <c r="E111">
        <v>43900000</v>
      </c>
      <c r="F111">
        <v>1.7526575846898369</v>
      </c>
    </row>
    <row r="112" spans="1:6" x14ac:dyDescent="0.25">
      <c r="A112" s="72" t="s">
        <v>143</v>
      </c>
      <c r="B112">
        <v>1295400000</v>
      </c>
      <c r="C112">
        <v>-209500000</v>
      </c>
      <c r="D112">
        <v>200000000</v>
      </c>
      <c r="E112">
        <v>23400000</v>
      </c>
      <c r="F112">
        <v>2.6958266452648481</v>
      </c>
    </row>
    <row r="113" spans="1:5" x14ac:dyDescent="0.25">
      <c r="A113" s="72" t="s">
        <v>144</v>
      </c>
      <c r="B113">
        <v>1055100000</v>
      </c>
      <c r="C113">
        <v>-143200000</v>
      </c>
      <c r="D113">
        <v>169310345</v>
      </c>
      <c r="E113">
        <v>23500000</v>
      </c>
    </row>
    <row r="114" spans="1:5" x14ac:dyDescent="0.25">
      <c r="A114" s="72" t="s">
        <v>145</v>
      </c>
      <c r="B114">
        <v>829400000</v>
      </c>
      <c r="C114">
        <v>-50600000</v>
      </c>
      <c r="D114">
        <v>171875000</v>
      </c>
      <c r="E114">
        <v>14100000</v>
      </c>
    </row>
    <row r="115" spans="1:5" x14ac:dyDescent="0.25">
      <c r="A115" s="72" t="s">
        <v>146</v>
      </c>
      <c r="B115">
        <v>596600000</v>
      </c>
      <c r="C115">
        <v>-102200000</v>
      </c>
      <c r="D115">
        <v>105000000</v>
      </c>
      <c r="E115">
        <v>30300000</v>
      </c>
    </row>
    <row r="116" spans="1:5" x14ac:dyDescent="0.25">
      <c r="A116" s="72" t="s">
        <v>147</v>
      </c>
      <c r="B116">
        <v>480500000</v>
      </c>
      <c r="C116">
        <v>-111100000</v>
      </c>
      <c r="D116">
        <v>65938000</v>
      </c>
      <c r="E116">
        <v>16600000</v>
      </c>
    </row>
    <row r="117" spans="1:5" x14ac:dyDescent="0.25">
      <c r="A117" s="72" t="s">
        <v>148</v>
      </c>
      <c r="B117">
        <v>402400000</v>
      </c>
      <c r="C117">
        <v>-120100000</v>
      </c>
      <c r="D117">
        <v>65938000</v>
      </c>
      <c r="E117">
        <v>13200000</v>
      </c>
    </row>
    <row r="118" spans="1:5" x14ac:dyDescent="0.25">
      <c r="A118" s="72" t="s">
        <v>149</v>
      </c>
      <c r="B118">
        <v>323700000</v>
      </c>
      <c r="C118">
        <v>-139500000</v>
      </c>
      <c r="D118">
        <v>54000000</v>
      </c>
      <c r="E118">
        <v>12000000</v>
      </c>
    </row>
    <row r="119" spans="1:5" x14ac:dyDescent="0.25">
      <c r="A119" s="72" t="s">
        <v>150</v>
      </c>
      <c r="B119">
        <v>250800000</v>
      </c>
      <c r="C119">
        <v>-71600000</v>
      </c>
      <c r="D119">
        <v>51481481</v>
      </c>
      <c r="E119">
        <v>41700000</v>
      </c>
    </row>
    <row r="120" spans="1:5" x14ac:dyDescent="0.25">
      <c r="A120" s="72" t="s">
        <v>151</v>
      </c>
      <c r="B120">
        <v>184500000</v>
      </c>
      <c r="C120">
        <v>-44000000</v>
      </c>
      <c r="D120">
        <v>22857143</v>
      </c>
      <c r="E120">
        <v>7600000</v>
      </c>
    </row>
    <row r="121" spans="1:5" x14ac:dyDescent="0.25">
      <c r="A121" s="72" t="s">
        <v>152</v>
      </c>
      <c r="B121">
        <v>162700000</v>
      </c>
      <c r="C121">
        <v>-38800000</v>
      </c>
      <c r="D121">
        <v>22857143</v>
      </c>
      <c r="E121">
        <v>6600000</v>
      </c>
    </row>
    <row r="122" spans="1:5" x14ac:dyDescent="0.25">
      <c r="A122" s="72" t="s">
        <v>153</v>
      </c>
      <c r="B122">
        <v>141200000</v>
      </c>
      <c r="C122">
        <v>-37200000</v>
      </c>
      <c r="D122">
        <v>21904762</v>
      </c>
      <c r="E122">
        <v>1600000</v>
      </c>
    </row>
    <row r="123" spans="1:5" x14ac:dyDescent="0.25">
      <c r="A123" s="72" t="s">
        <v>154</v>
      </c>
      <c r="B123">
        <v>113700000</v>
      </c>
      <c r="C123">
        <v>-10800000</v>
      </c>
      <c r="D123">
        <v>20000000</v>
      </c>
      <c r="E123">
        <v>5800000</v>
      </c>
    </row>
    <row r="124" spans="1:5" x14ac:dyDescent="0.25">
      <c r="A124" s="72" t="s">
        <v>155</v>
      </c>
      <c r="B124">
        <v>85400000</v>
      </c>
      <c r="C124">
        <v>-13700000</v>
      </c>
      <c r="D124">
        <v>12105263</v>
      </c>
      <c r="E124">
        <v>3100000</v>
      </c>
    </row>
    <row r="125" spans="1:5" x14ac:dyDescent="0.25">
      <c r="A125" s="72" t="s">
        <v>156</v>
      </c>
      <c r="B125">
        <v>75200000</v>
      </c>
      <c r="C125">
        <v>-10400000</v>
      </c>
      <c r="D125">
        <v>12105263</v>
      </c>
      <c r="E125">
        <v>3200000</v>
      </c>
    </row>
    <row r="126" spans="1:5" x14ac:dyDescent="0.25">
      <c r="A126" s="72" t="s">
        <v>157</v>
      </c>
      <c r="B126">
        <v>65100000</v>
      </c>
      <c r="C126">
        <v>-3100000</v>
      </c>
      <c r="D126">
        <v>12000000</v>
      </c>
      <c r="E126">
        <v>3700000</v>
      </c>
    </row>
    <row r="127" spans="1:5" x14ac:dyDescent="0.25">
      <c r="A127" s="72" t="s">
        <v>158</v>
      </c>
      <c r="B127">
        <v>59800000</v>
      </c>
      <c r="C127">
        <v>-13900000</v>
      </c>
      <c r="D127">
        <v>11052632</v>
      </c>
      <c r="E127">
        <v>5300000</v>
      </c>
    </row>
    <row r="128" spans="1:5" x14ac:dyDescent="0.25">
      <c r="A128" s="72" t="s">
        <v>159</v>
      </c>
      <c r="B128">
        <v>56700000</v>
      </c>
      <c r="C128">
        <v>-10700000</v>
      </c>
      <c r="D128">
        <v>11111111</v>
      </c>
      <c r="E128">
        <v>6700000</v>
      </c>
    </row>
    <row r="129" spans="1:5" x14ac:dyDescent="0.25">
      <c r="A129" s="72" t="s">
        <v>160</v>
      </c>
      <c r="B129">
        <v>52300000</v>
      </c>
      <c r="C129">
        <v>-16800000</v>
      </c>
      <c r="D129">
        <v>11111111</v>
      </c>
      <c r="E129">
        <v>11700000</v>
      </c>
    </row>
    <row r="130" spans="1:5" x14ac:dyDescent="0.25">
      <c r="A130" s="72" t="s">
        <v>160</v>
      </c>
      <c r="B130">
        <v>52300000</v>
      </c>
      <c r="C130">
        <v>-16800000</v>
      </c>
      <c r="D130">
        <v>11111111</v>
      </c>
      <c r="E130">
        <v>11700000</v>
      </c>
    </row>
    <row r="131" spans="1:5" x14ac:dyDescent="0.25">
      <c r="A131" s="72" t="s">
        <v>161</v>
      </c>
      <c r="B131">
        <v>43600000</v>
      </c>
      <c r="C131">
        <v>-17700000</v>
      </c>
      <c r="D131">
        <v>11176471</v>
      </c>
      <c r="E131">
        <v>15300000</v>
      </c>
    </row>
    <row r="132" spans="1:5" x14ac:dyDescent="0.25">
      <c r="A132" s="72" t="s">
        <v>162</v>
      </c>
      <c r="B132">
        <v>35100000</v>
      </c>
      <c r="C132">
        <v>-13400000</v>
      </c>
      <c r="D132">
        <v>11875000</v>
      </c>
      <c r="E132">
        <v>5300000</v>
      </c>
    </row>
    <row r="133" spans="1:5" x14ac:dyDescent="0.25">
      <c r="A133" s="72" t="s">
        <v>163</v>
      </c>
      <c r="B133">
        <v>25200000</v>
      </c>
      <c r="C133">
        <v>-12200000</v>
      </c>
      <c r="D133">
        <v>10714286</v>
      </c>
      <c r="E133">
        <v>3900000</v>
      </c>
    </row>
    <row r="134" spans="1:5" x14ac:dyDescent="0.25">
      <c r="A134" s="72" t="s">
        <v>164</v>
      </c>
      <c r="B134">
        <v>16500000</v>
      </c>
      <c r="C134">
        <v>-6100000</v>
      </c>
      <c r="D134">
        <v>10714286</v>
      </c>
      <c r="E134">
        <v>3900000</v>
      </c>
    </row>
    <row r="135" spans="1:5" x14ac:dyDescent="0.25">
      <c r="A135" s="72" t="s">
        <v>165</v>
      </c>
      <c r="B135">
        <v>12000000</v>
      </c>
      <c r="C135">
        <v>-7200000</v>
      </c>
      <c r="D135">
        <v>10000000</v>
      </c>
      <c r="E135">
        <v>900000</v>
      </c>
    </row>
    <row r="136" spans="1:5" x14ac:dyDescent="0.25">
      <c r="A136" s="72" t="s">
        <v>166</v>
      </c>
      <c r="B136">
        <v>7200000</v>
      </c>
      <c r="C136">
        <v>-4200000</v>
      </c>
      <c r="D136">
        <v>8333333</v>
      </c>
      <c r="E136">
        <v>3100000</v>
      </c>
    </row>
    <row r="137" spans="1:5" x14ac:dyDescent="0.25">
      <c r="A137" s="72" t="s">
        <v>167</v>
      </c>
      <c r="B137">
        <v>4400000</v>
      </c>
      <c r="C137">
        <v>-600000</v>
      </c>
      <c r="D137">
        <v>4000000</v>
      </c>
      <c r="E137">
        <v>500000</v>
      </c>
    </row>
    <row r="138" spans="1:5" x14ac:dyDescent="0.25">
      <c r="A138" s="72" t="s">
        <v>168</v>
      </c>
      <c r="B138">
        <v>3700000</v>
      </c>
      <c r="C138">
        <v>100000</v>
      </c>
      <c r="D138">
        <v>4000000</v>
      </c>
      <c r="E138">
        <v>2300000</v>
      </c>
    </row>
    <row r="139" spans="1:5" x14ac:dyDescent="0.25">
      <c r="A139" s="72" t="s">
        <v>169</v>
      </c>
      <c r="B139">
        <v>3200000</v>
      </c>
      <c r="C139">
        <v>0</v>
      </c>
      <c r="D139">
        <v>2878000</v>
      </c>
      <c r="E139">
        <v>600000</v>
      </c>
    </row>
    <row r="140" spans="1:5" x14ac:dyDescent="0.25">
      <c r="A140" s="72" t="s">
        <v>170</v>
      </c>
      <c r="B140">
        <v>2900000</v>
      </c>
      <c r="C140">
        <v>-600000</v>
      </c>
      <c r="D140">
        <v>3333333</v>
      </c>
      <c r="E140">
        <v>400000</v>
      </c>
    </row>
    <row r="141" spans="1:5" x14ac:dyDescent="0.25">
      <c r="A141" s="72" t="s">
        <v>171</v>
      </c>
      <c r="B141">
        <v>2700000</v>
      </c>
      <c r="C141">
        <v>-100000</v>
      </c>
      <c r="D141">
        <v>2808000</v>
      </c>
      <c r="E141">
        <v>1000000</v>
      </c>
    </row>
    <row r="142" spans="1:5" x14ac:dyDescent="0.25">
      <c r="A142" s="72" t="s">
        <v>172</v>
      </c>
      <c r="B142">
        <v>2600000</v>
      </c>
      <c r="C142">
        <v>0</v>
      </c>
      <c r="D142">
        <v>2808000</v>
      </c>
      <c r="E142">
        <v>1200000</v>
      </c>
    </row>
    <row r="143" spans="1:5" x14ac:dyDescent="0.25">
      <c r="A143" s="72" t="s">
        <v>173</v>
      </c>
      <c r="B143">
        <v>2400000</v>
      </c>
      <c r="C143">
        <v>0</v>
      </c>
      <c r="D143">
        <v>2808000</v>
      </c>
    </row>
    <row r="144" spans="1:5" x14ac:dyDescent="0.25">
      <c r="A144" s="72" t="s">
        <v>174</v>
      </c>
      <c r="B144">
        <v>2200000</v>
      </c>
      <c r="C144">
        <v>0</v>
      </c>
      <c r="D144">
        <v>2808000</v>
      </c>
    </row>
    <row r="145" spans="1:5" x14ac:dyDescent="0.25">
      <c r="A145" s="72" t="s">
        <v>175</v>
      </c>
      <c r="B145">
        <v>2100000</v>
      </c>
      <c r="C145">
        <v>0</v>
      </c>
      <c r="D145">
        <v>2808000</v>
      </c>
    </row>
    <row r="146" spans="1:5" x14ac:dyDescent="0.25">
      <c r="A146" s="72" t="s">
        <v>176</v>
      </c>
      <c r="B146">
        <v>1900000</v>
      </c>
      <c r="C146">
        <v>0</v>
      </c>
      <c r="D146">
        <v>2808000</v>
      </c>
      <c r="E146">
        <v>3000000</v>
      </c>
    </row>
    <row r="147" spans="1:5" x14ac:dyDescent="0.25">
      <c r="A147" s="72" t="s">
        <v>177</v>
      </c>
      <c r="B147">
        <v>1900000</v>
      </c>
      <c r="C147">
        <v>0</v>
      </c>
      <c r="D147">
        <v>1757000</v>
      </c>
    </row>
    <row r="148" spans="1:5" x14ac:dyDescent="0.25">
      <c r="A148" s="72" t="s">
        <v>178</v>
      </c>
      <c r="B148">
        <v>1800000</v>
      </c>
      <c r="C148">
        <v>0</v>
      </c>
      <c r="D148">
        <v>1757000</v>
      </c>
    </row>
    <row r="149" spans="1:5" x14ac:dyDescent="0.25">
      <c r="A149" s="72" t="s">
        <v>179</v>
      </c>
      <c r="B149">
        <v>1700000</v>
      </c>
      <c r="C149">
        <v>0</v>
      </c>
      <c r="D149">
        <v>1757000</v>
      </c>
    </row>
    <row r="150" spans="1:5" x14ac:dyDescent="0.25">
      <c r="A150" s="72" t="s">
        <v>180</v>
      </c>
      <c r="B150">
        <v>1700000</v>
      </c>
      <c r="C150">
        <v>0</v>
      </c>
      <c r="D150">
        <v>1757000</v>
      </c>
      <c r="E150">
        <v>100000</v>
      </c>
    </row>
    <row r="151" spans="1:5" x14ac:dyDescent="0.25">
      <c r="A151" s="72" t="s">
        <v>181</v>
      </c>
      <c r="D151">
        <v>1757000</v>
      </c>
    </row>
    <row r="152" spans="1:5" x14ac:dyDescent="0.25">
      <c r="A152" s="72" t="s">
        <v>182</v>
      </c>
      <c r="D152">
        <v>1757000</v>
      </c>
    </row>
    <row r="153" spans="1:5" x14ac:dyDescent="0.25">
      <c r="A153" s="72" t="s">
        <v>183</v>
      </c>
      <c r="D153">
        <v>1757000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184</v>
      </c>
      <c r="B1" s="27" t="s">
        <v>185</v>
      </c>
      <c r="C1" t="s">
        <v>186</v>
      </c>
      <c r="D1" t="s">
        <v>187</v>
      </c>
      <c r="F1" s="27" t="s">
        <v>185</v>
      </c>
      <c r="G1" t="s">
        <v>186</v>
      </c>
      <c r="H1" t="s">
        <v>187</v>
      </c>
      <c r="J1" t="s">
        <v>188</v>
      </c>
      <c r="K1" t="s">
        <v>186</v>
      </c>
      <c r="L1" t="s">
        <v>187</v>
      </c>
      <c r="N1" t="s">
        <v>189</v>
      </c>
      <c r="O1" t="s">
        <v>186</v>
      </c>
      <c r="P1" t="s">
        <v>187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190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191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192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193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194</v>
      </c>
    </row>
    <row r="7" spans="1:46" x14ac:dyDescent="0.25">
      <c r="A7" s="27" t="s">
        <v>195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196</v>
      </c>
    </row>
    <row r="8" spans="1:46" x14ac:dyDescent="0.25">
      <c r="A8" s="27" t="s">
        <v>197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198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199</v>
      </c>
    </row>
    <row r="10" spans="1:46" x14ac:dyDescent="0.25">
      <c r="A10" s="27" t="s">
        <v>200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201</v>
      </c>
    </row>
    <row r="11" spans="1:46" x14ac:dyDescent="0.25">
      <c r="A11" s="27" t="s">
        <v>202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203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204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205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206</v>
      </c>
    </row>
    <row r="15" spans="1:46" x14ac:dyDescent="0.25">
      <c r="A15" s="27" t="s">
        <v>207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208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209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210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211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212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213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214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215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216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217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218</v>
      </c>
      <c r="J26">
        <v>0.61799999999999999</v>
      </c>
      <c r="N26">
        <v>-0.36399999999999999</v>
      </c>
    </row>
    <row r="27" spans="1:17" x14ac:dyDescent="0.25">
      <c r="A27" s="27" t="s">
        <v>219</v>
      </c>
    </row>
    <row r="28" spans="1:17" x14ac:dyDescent="0.25">
      <c r="A28" s="27" t="s">
        <v>220</v>
      </c>
    </row>
    <row r="29" spans="1:17" x14ac:dyDescent="0.25">
      <c r="A29" s="27" t="s">
        <v>221</v>
      </c>
    </row>
    <row r="31" spans="1:17" x14ac:dyDescent="0.25">
      <c r="A31" s="26" t="s">
        <v>222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223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224</v>
      </c>
      <c r="C1" s="72" t="s">
        <v>225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226</v>
      </c>
      <c r="D2">
        <v>0.57222208326283686</v>
      </c>
      <c r="E2">
        <v>8.0367823511795528E-2</v>
      </c>
    </row>
    <row r="3" spans="1:5" x14ac:dyDescent="0.25">
      <c r="A3" s="72">
        <v>1</v>
      </c>
      <c r="B3">
        <v>3</v>
      </c>
      <c r="C3" t="s">
        <v>227</v>
      </c>
      <c r="D3">
        <v>0.47844923058252481</v>
      </c>
      <c r="E3">
        <v>7.3872177963704488E-2</v>
      </c>
    </row>
    <row r="4" spans="1:5" x14ac:dyDescent="0.25">
      <c r="A4" s="72">
        <v>2</v>
      </c>
      <c r="B4">
        <v>3</v>
      </c>
      <c r="C4" t="s">
        <v>228</v>
      </c>
      <c r="D4">
        <v>0.43104252278106681</v>
      </c>
      <c r="E4">
        <v>7.0588315292596432E-2</v>
      </c>
    </row>
    <row r="5" spans="1:5" x14ac:dyDescent="0.25">
      <c r="A5" s="72">
        <v>3</v>
      </c>
      <c r="B5">
        <v>5</v>
      </c>
      <c r="C5" t="s">
        <v>226</v>
      </c>
      <c r="D5">
        <v>0.75319277228994053</v>
      </c>
      <c r="E5">
        <v>9.2903663223544791E-2</v>
      </c>
    </row>
    <row r="6" spans="1:5" x14ac:dyDescent="0.25">
      <c r="A6" s="72">
        <v>4</v>
      </c>
      <c r="B6">
        <v>5</v>
      </c>
      <c r="C6" t="s">
        <v>227</v>
      </c>
      <c r="D6">
        <v>0.6279590410248822</v>
      </c>
      <c r="E6">
        <v>8.4228722601486755E-2</v>
      </c>
    </row>
    <row r="7" spans="1:5" x14ac:dyDescent="0.25">
      <c r="A7" s="72">
        <v>5</v>
      </c>
      <c r="B7">
        <v>5</v>
      </c>
      <c r="C7" t="s">
        <v>228</v>
      </c>
      <c r="D7">
        <v>0.63242893332872296</v>
      </c>
      <c r="E7">
        <v>8.4538352043419959E-2</v>
      </c>
    </row>
    <row r="8" spans="1:5" x14ac:dyDescent="0.25">
      <c r="A8" s="72">
        <v>6</v>
      </c>
      <c r="B8" t="s">
        <v>222</v>
      </c>
      <c r="D8">
        <v>0.58254909721166237</v>
      </c>
      <c r="E8">
        <v>8.108317577275799E-2</v>
      </c>
    </row>
    <row r="9" spans="1:5" x14ac:dyDescent="0.25">
      <c r="A9" s="72">
        <v>7</v>
      </c>
      <c r="B9" t="s">
        <v>223</v>
      </c>
      <c r="D9">
        <v>0.60009056214385947</v>
      </c>
      <c r="E9">
        <v>8.2298273056641141E-2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2024-10-18T21:20:38Z</dcterms:modified>
</cp:coreProperties>
</file>