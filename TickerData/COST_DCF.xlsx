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arcadianholdings-my.sharepoint.com/personal/kylejennings_arcadianholdings_io/Documents/3.  Arcadian Financial/Vista_v0.03/TickerData/"/>
    </mc:Choice>
  </mc:AlternateContent>
  <xr:revisionPtr revIDLastSave="1" documentId="11_A86311A80C3066EE5A2745CF7E3D327F75BB99FC" xr6:coauthVersionLast="47" xr6:coauthVersionMax="47" xr10:uidLastSave="{C220BC59-397C-41C6-BF49-2E68FC5E5ACF}"/>
  <bookViews>
    <workbookView xWindow="-120" yWindow="-120" windowWidth="29040" windowHeight="15720" firstSheet="1" activeTab="2" xr2:uid="{00000000-000D-0000-FFFF-FFFF00000000}"/>
  </bookViews>
  <sheets>
    <sheet name="__FDSCACHE__" sheetId="1" state="veryHidden" r:id="rId1"/>
    <sheet name="WACC" sheetId="2" r:id="rId2"/>
    <sheet name="DCF_Simple" sheetId="3" r:id="rId3"/>
    <sheet name="Python" sheetId="4" r:id="rId4"/>
    <sheet name="Sheet3" sheetId="5" r:id="rId5"/>
    <sheet name="Beta" sheetId="6" r:id="rId6"/>
  </sheets>
  <calcPr calcId="191029" calcMode="autoNoTabl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5" i="3" l="1"/>
  <c r="N5" i="3" s="1"/>
  <c r="O5" i="3" s="1"/>
  <c r="P5" i="3" s="1"/>
  <c r="Q5" i="3" s="1"/>
  <c r="R5" i="3" s="1"/>
  <c r="S5" i="3" s="1"/>
  <c r="T5" i="3" s="1"/>
  <c r="U5" i="3" s="1"/>
  <c r="K32" i="5"/>
  <c r="G32" i="5"/>
  <c r="K31" i="5"/>
  <c r="D24" i="5"/>
  <c r="C24" i="5"/>
  <c r="D23" i="5"/>
  <c r="C23" i="5"/>
  <c r="D22" i="5"/>
  <c r="C22" i="5"/>
  <c r="P21" i="5"/>
  <c r="O21" i="5"/>
  <c r="L21" i="5"/>
  <c r="K21" i="5"/>
  <c r="H21" i="5"/>
  <c r="G21" i="5"/>
  <c r="D21" i="5"/>
  <c r="C21" i="5"/>
  <c r="P20" i="5"/>
  <c r="O20" i="5"/>
  <c r="L20" i="5"/>
  <c r="K20" i="5"/>
  <c r="H20" i="5"/>
  <c r="G20" i="5"/>
  <c r="D20" i="5"/>
  <c r="C20" i="5"/>
  <c r="P19" i="5"/>
  <c r="O19" i="5"/>
  <c r="L19" i="5"/>
  <c r="K19" i="5"/>
  <c r="H19" i="5"/>
  <c r="G19" i="5"/>
  <c r="D19" i="5"/>
  <c r="C19" i="5"/>
  <c r="P18" i="5"/>
  <c r="O18" i="5"/>
  <c r="L18" i="5"/>
  <c r="K18" i="5"/>
  <c r="H18" i="5"/>
  <c r="G18" i="5"/>
  <c r="D18" i="5"/>
  <c r="C18" i="5"/>
  <c r="P17" i="5"/>
  <c r="O17" i="5"/>
  <c r="L17" i="5"/>
  <c r="K17" i="5"/>
  <c r="H17" i="5"/>
  <c r="G17" i="5"/>
  <c r="D17" i="5"/>
  <c r="C17" i="5"/>
  <c r="P16" i="5"/>
  <c r="O16" i="5"/>
  <c r="L16" i="5"/>
  <c r="K16" i="5"/>
  <c r="H16" i="5"/>
  <c r="G16" i="5"/>
  <c r="D16" i="5"/>
  <c r="C16" i="5"/>
  <c r="P15" i="5"/>
  <c r="O15" i="5"/>
  <c r="L15" i="5"/>
  <c r="K15" i="5"/>
  <c r="H15" i="5"/>
  <c r="G15" i="5"/>
  <c r="D15" i="5"/>
  <c r="C15" i="5"/>
  <c r="P14" i="5"/>
  <c r="O14" i="5"/>
  <c r="L14" i="5"/>
  <c r="K14" i="5"/>
  <c r="H14" i="5"/>
  <c r="G14" i="5"/>
  <c r="D14" i="5"/>
  <c r="C14" i="5"/>
  <c r="P13" i="5"/>
  <c r="O13" i="5"/>
  <c r="L13" i="5"/>
  <c r="K13" i="5"/>
  <c r="H13" i="5"/>
  <c r="G13" i="5"/>
  <c r="D13" i="5"/>
  <c r="C13" i="5"/>
  <c r="P12" i="5"/>
  <c r="O12" i="5"/>
  <c r="L12" i="5"/>
  <c r="K12" i="5"/>
  <c r="H12" i="5"/>
  <c r="G12" i="5"/>
  <c r="D12" i="5"/>
  <c r="C12" i="5"/>
  <c r="P11" i="5"/>
  <c r="O11" i="5"/>
  <c r="L11" i="5"/>
  <c r="K11" i="5"/>
  <c r="H11" i="5"/>
  <c r="G11" i="5"/>
  <c r="D11" i="5"/>
  <c r="C11" i="5"/>
  <c r="P10" i="5"/>
  <c r="O10" i="5"/>
  <c r="L10" i="5"/>
  <c r="K10" i="5"/>
  <c r="H10" i="5"/>
  <c r="G10" i="5"/>
  <c r="D10" i="5"/>
  <c r="C10" i="5"/>
  <c r="P9" i="5"/>
  <c r="O9" i="5"/>
  <c r="L9" i="5"/>
  <c r="K9" i="5"/>
  <c r="H9" i="5"/>
  <c r="G9" i="5"/>
  <c r="D9" i="5"/>
  <c r="C9" i="5"/>
  <c r="P8" i="5"/>
  <c r="O8" i="5"/>
  <c r="L8" i="5"/>
  <c r="K8" i="5"/>
  <c r="H8" i="5"/>
  <c r="G8" i="5"/>
  <c r="D8" i="5"/>
  <c r="C8" i="5"/>
  <c r="P7" i="5"/>
  <c r="O7" i="5"/>
  <c r="L7" i="5"/>
  <c r="K7" i="5"/>
  <c r="H7" i="5"/>
  <c r="G7" i="5"/>
  <c r="D7" i="5"/>
  <c r="C7" i="5"/>
  <c r="P6" i="5"/>
  <c r="O6" i="5"/>
  <c r="L6" i="5"/>
  <c r="K6" i="5"/>
  <c r="H6" i="5"/>
  <c r="G6" i="5"/>
  <c r="D6" i="5"/>
  <c r="C6" i="5"/>
  <c r="P5" i="5"/>
  <c r="O5" i="5"/>
  <c r="L5" i="5"/>
  <c r="K5" i="5"/>
  <c r="H5" i="5"/>
  <c r="G5" i="5"/>
  <c r="D5" i="5"/>
  <c r="C5" i="5"/>
  <c r="P4" i="5"/>
  <c r="O4" i="5"/>
  <c r="L4" i="5"/>
  <c r="K4" i="5"/>
  <c r="H4" i="5"/>
  <c r="G4" i="5"/>
  <c r="D4" i="5"/>
  <c r="C4" i="5"/>
  <c r="R3" i="5"/>
  <c r="S3" i="5" s="1"/>
  <c r="T3" i="5" s="1"/>
  <c r="U3" i="5" s="1"/>
  <c r="V3" i="5" s="1"/>
  <c r="W3" i="5" s="1"/>
  <c r="X3" i="5" s="1"/>
  <c r="Y3" i="5" s="1"/>
  <c r="Z3" i="5" s="1"/>
  <c r="AA3" i="5" s="1"/>
  <c r="AB3" i="5" s="1"/>
  <c r="AC3" i="5" s="1"/>
  <c r="AD3" i="5" s="1"/>
  <c r="AE3" i="5" s="1"/>
  <c r="AF3" i="5" s="1"/>
  <c r="AG3" i="5" s="1"/>
  <c r="AH3" i="5" s="1"/>
  <c r="AI3" i="5" s="1"/>
  <c r="AJ3" i="5" s="1"/>
  <c r="AK3" i="5" s="1"/>
  <c r="AL3" i="5" s="1"/>
  <c r="AM3" i="5" s="1"/>
  <c r="AN3" i="5" s="1"/>
  <c r="AO3" i="5" s="1"/>
  <c r="AP3" i="5" s="1"/>
  <c r="AQ3" i="5" s="1"/>
  <c r="AR3" i="5" s="1"/>
  <c r="AS3" i="5" s="1"/>
  <c r="AT3" i="5" s="1"/>
  <c r="P3" i="5"/>
  <c r="O3" i="5"/>
  <c r="O32" i="5" s="1"/>
  <c r="L3" i="5"/>
  <c r="K3" i="5"/>
  <c r="H3" i="5"/>
  <c r="G3" i="5"/>
  <c r="D3" i="5"/>
  <c r="C3" i="5"/>
  <c r="C31" i="5" s="1"/>
  <c r="R2" i="5"/>
  <c r="S2" i="5" s="1"/>
  <c r="T2" i="5" s="1"/>
  <c r="U2" i="5" s="1"/>
  <c r="V2" i="5" s="1"/>
  <c r="W2" i="5" s="1"/>
  <c r="X2" i="5" s="1"/>
  <c r="Y2" i="5" s="1"/>
  <c r="Z2" i="5" s="1"/>
  <c r="AA2" i="5" s="1"/>
  <c r="AB2" i="5" s="1"/>
  <c r="AC2" i="5" s="1"/>
  <c r="AD2" i="5" s="1"/>
  <c r="AE2" i="5" s="1"/>
  <c r="AF2" i="5" s="1"/>
  <c r="AG2" i="5" s="1"/>
  <c r="AH2" i="5" s="1"/>
  <c r="AI2" i="5" s="1"/>
  <c r="AJ2" i="5" s="1"/>
  <c r="AK2" i="5" s="1"/>
  <c r="AL2" i="5" s="1"/>
  <c r="AM2" i="5" s="1"/>
  <c r="AN2" i="5" s="1"/>
  <c r="AO2" i="5" s="1"/>
  <c r="AP2" i="5" s="1"/>
  <c r="AQ2" i="5" s="1"/>
  <c r="AR2" i="5" s="1"/>
  <c r="AS2" i="5" s="1"/>
  <c r="AT2" i="5" s="1"/>
  <c r="H2" i="5"/>
  <c r="G2" i="5"/>
  <c r="G31" i="5" s="1"/>
  <c r="D2" i="5"/>
  <c r="C2" i="5"/>
  <c r="C32" i="5" s="1"/>
  <c r="S1" i="5"/>
  <c r="T1" i="5" s="1"/>
  <c r="U1" i="5" s="1"/>
  <c r="V1" i="5" s="1"/>
  <c r="W1" i="5" s="1"/>
  <c r="X1" i="5" s="1"/>
  <c r="Y1" i="5" s="1"/>
  <c r="Z1" i="5" s="1"/>
  <c r="AA1" i="5" s="1"/>
  <c r="AB1" i="5" s="1"/>
  <c r="AC1" i="5" s="1"/>
  <c r="AD1" i="5" s="1"/>
  <c r="AE1" i="5" s="1"/>
  <c r="AF1" i="5" s="1"/>
  <c r="AG1" i="5" s="1"/>
  <c r="AH1" i="5" s="1"/>
  <c r="AI1" i="5" s="1"/>
  <c r="AJ1" i="5" s="1"/>
  <c r="AK1" i="5" s="1"/>
  <c r="AL1" i="5" s="1"/>
  <c r="AM1" i="5" s="1"/>
  <c r="AN1" i="5" s="1"/>
  <c r="AO1" i="5" s="1"/>
  <c r="AP1" i="5" s="1"/>
  <c r="AQ1" i="5" s="1"/>
  <c r="AR1" i="5" s="1"/>
  <c r="AS1" i="5" s="1"/>
  <c r="AT1" i="5" s="1"/>
  <c r="K10" i="3"/>
  <c r="F10" i="3"/>
  <c r="D10" i="3"/>
  <c r="L5" i="3"/>
  <c r="G4" i="3"/>
  <c r="G5" i="3" s="1"/>
  <c r="E4" i="3"/>
  <c r="E5" i="3" s="1"/>
  <c r="D4" i="3"/>
  <c r="J3" i="3"/>
  <c r="G3" i="3"/>
  <c r="F3" i="3"/>
  <c r="K1" i="3"/>
  <c r="K4" i="3" s="1"/>
  <c r="J1" i="3"/>
  <c r="J7" i="3" s="1"/>
  <c r="I1" i="3"/>
  <c r="I4" i="3" s="1"/>
  <c r="H1" i="3"/>
  <c r="H3" i="3" s="1"/>
  <c r="G1" i="3"/>
  <c r="G7" i="3" s="1"/>
  <c r="F1" i="3"/>
  <c r="F4" i="3" s="1"/>
  <c r="F5" i="3" s="1"/>
  <c r="E1" i="3"/>
  <c r="E10" i="3" s="1"/>
  <c r="E11" i="3" s="1"/>
  <c r="D1" i="3"/>
  <c r="D3" i="3" s="1"/>
  <c r="G8" i="3" l="1"/>
  <c r="L4" i="3"/>
  <c r="M4" i="3" s="1"/>
  <c r="N4" i="3" s="1"/>
  <c r="O4" i="3" s="1"/>
  <c r="P4" i="3" s="1"/>
  <c r="Q4" i="3" s="1"/>
  <c r="R4" i="3" s="1"/>
  <c r="S4" i="3" s="1"/>
  <c r="T4" i="3" s="1"/>
  <c r="U4" i="3" s="1"/>
  <c r="V4" i="3" s="1"/>
  <c r="F11" i="3"/>
  <c r="K7" i="3"/>
  <c r="L1" i="3"/>
  <c r="H4" i="3"/>
  <c r="H5" i="3" s="1"/>
  <c r="D7" i="3"/>
  <c r="G10" i="3"/>
  <c r="G11" i="3" s="1"/>
  <c r="I7" i="3"/>
  <c r="I3" i="3"/>
  <c r="K3" i="3"/>
  <c r="H10" i="3"/>
  <c r="J4" i="3"/>
  <c r="J5" i="3" s="1"/>
  <c r="F7" i="3"/>
  <c r="I10" i="3"/>
  <c r="I11" i="3" s="1"/>
  <c r="O31" i="5"/>
  <c r="C20" i="3"/>
  <c r="E7" i="3"/>
  <c r="E3" i="3"/>
  <c r="J10" i="3"/>
  <c r="J13" i="3" s="1"/>
  <c r="H7" i="3"/>
  <c r="C21" i="3"/>
  <c r="E13" i="3" l="1"/>
  <c r="E8" i="3"/>
  <c r="I13" i="3"/>
  <c r="I8" i="3"/>
  <c r="I5" i="3"/>
  <c r="D8" i="3"/>
  <c r="L8" i="3" s="1"/>
  <c r="D13" i="3"/>
  <c r="K5" i="3"/>
  <c r="F13" i="3"/>
  <c r="F8" i="3"/>
  <c r="L3" i="3"/>
  <c r="M1" i="3"/>
  <c r="J8" i="3"/>
  <c r="H11" i="3"/>
  <c r="K8" i="3"/>
  <c r="K13" i="3"/>
  <c r="G13" i="3"/>
  <c r="H13" i="3"/>
  <c r="H8" i="3"/>
  <c r="J11" i="3"/>
  <c r="K11" i="3"/>
  <c r="L11" i="3" s="1"/>
  <c r="M8" i="3" l="1"/>
  <c r="L7" i="3"/>
  <c r="M3" i="3"/>
  <c r="N1" i="3"/>
  <c r="M11" i="3"/>
  <c r="N11" i="3" s="1"/>
  <c r="O11" i="3" s="1"/>
  <c r="P11" i="3" s="1"/>
  <c r="Q11" i="3" s="1"/>
  <c r="R11" i="3" s="1"/>
  <c r="S11" i="3" s="1"/>
  <c r="T11" i="3" s="1"/>
  <c r="U11" i="3" s="1"/>
  <c r="L10" i="3"/>
  <c r="M10" i="3" s="1"/>
  <c r="N10" i="3" s="1"/>
  <c r="O10" i="3" s="1"/>
  <c r="P10" i="3" s="1"/>
  <c r="Q10" i="3" s="1"/>
  <c r="R10" i="3" s="1"/>
  <c r="S10" i="3" s="1"/>
  <c r="T10" i="3" s="1"/>
  <c r="U10" i="3" s="1"/>
  <c r="V10" i="3" s="1"/>
  <c r="O1" i="3" l="1"/>
  <c r="N3" i="3"/>
  <c r="L13" i="3"/>
  <c r="L14" i="3" s="1"/>
  <c r="M7" i="3"/>
  <c r="M13" i="3" s="1"/>
  <c r="M14" i="3" s="1"/>
  <c r="N8" i="3"/>
  <c r="O8" i="3" l="1"/>
  <c r="N7" i="3"/>
  <c r="N13" i="3" s="1"/>
  <c r="N14" i="3" s="1"/>
  <c r="O3" i="3"/>
  <c r="P1" i="3"/>
  <c r="P3" i="3" l="1"/>
  <c r="Q1" i="3"/>
  <c r="O7" i="3"/>
  <c r="O13" i="3" s="1"/>
  <c r="O14" i="3" s="1"/>
  <c r="P8" i="3"/>
  <c r="P7" i="3" l="1"/>
  <c r="P13" i="3" s="1"/>
  <c r="P14" i="3" s="1"/>
  <c r="Q8" i="3"/>
  <c r="R1" i="3"/>
  <c r="Q3" i="3"/>
  <c r="S1" i="3" l="1"/>
  <c r="R3" i="3"/>
  <c r="R8" i="3"/>
  <c r="Q7" i="3"/>
  <c r="Q13" i="3" s="1"/>
  <c r="Q14" i="3" s="1"/>
  <c r="R7" i="3" l="1"/>
  <c r="R13" i="3" s="1"/>
  <c r="R14" i="3" s="1"/>
  <c r="S8" i="3"/>
  <c r="S3" i="3"/>
  <c r="T1" i="3"/>
  <c r="U1" i="3" l="1"/>
  <c r="U3" i="3" s="1"/>
  <c r="T3" i="3"/>
  <c r="T8" i="3"/>
  <c r="S7" i="3"/>
  <c r="S13" i="3" s="1"/>
  <c r="S14" i="3" s="1"/>
  <c r="T7" i="3" l="1"/>
  <c r="T13" i="3" s="1"/>
  <c r="T14" i="3" s="1"/>
  <c r="U8" i="3"/>
  <c r="U7" i="3" s="1"/>
  <c r="U13" i="3" l="1"/>
  <c r="V7" i="3"/>
  <c r="U14" i="3" l="1"/>
  <c r="V13" i="3"/>
  <c r="V14" i="3" s="1"/>
  <c r="C18" i="3" l="1"/>
  <c r="C17" i="3"/>
  <c r="C19" i="3" l="1"/>
  <c r="C22" i="3" s="1"/>
  <c r="L17" i="3"/>
  <c r="L18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Ben Chon</author>
  </authors>
  <commentList>
    <comment ref="A1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&lt;?xml version="1.0" encoding="utf-8"?&gt;&lt;Schema xmlns:xsd="http://www.w3.org/2001/XMLSchema" xmlns:xsi="http://www.w3.org/2001/XMLSchema-instance" Version="2" Timestamp="1658677764"&gt;&lt;FQL&gt;&lt;Q&gt;AMZN^FE_ESTIMATE(DEP_AMORT_EXP,MEAN,ANN_ROLL,2022,NOW,,,'')&lt;/Q&gt;&lt;R&gt;1&lt;/R&gt;&lt;C&gt;1&lt;/C&gt;&lt;D xsi:type="xsd:double"&gt;38716.438&lt;/D&gt;&lt;/FQL&gt;&lt;FQL&gt;&lt;Q&gt;AMZN^FE_ESTIMATE(DEP_AMORT_EXP,MEAN,ANN_ROLL,2023,NOW,,,'')&lt;/Q&gt;&lt;R&gt;1&lt;/R&gt;&lt;C&gt;1&lt;/C&gt;&lt;D xsi:type="xsd:double"&gt;44728.72&lt;/D&gt;&lt;/FQL&gt;&lt;FQL&gt;&lt;Q&gt;AMZN^FE_ESTIMATE(DEP_AMORT_EXP,MEAN,ANN_ROLL,2024,NOW,,,'')&lt;/Q&gt;&lt;R&gt;1&lt;/R&gt;&lt;C&gt;1&lt;/C&gt;&lt;D xsi:type="xsd:double"&gt;52136.97&lt;/D&gt;&lt;/FQL&gt;&lt;FQL&gt;&lt;Q&gt;AMZN^FE_ESTIMATE(DEP_AMORT_EXP,MEAN,ANN_ROLL,2025,NOW,,,'')&lt;/Q&gt;&lt;R&gt;1&lt;/R&gt;&lt;C&gt;1&lt;/C&gt;&lt;D xsi:type="xsd:double"&gt;55507.54&lt;/D&gt;&lt;/FQL&gt;&lt;FQL&gt;&lt;Q&gt;AMZN^FE_ESTIMATE(DEP_AMORT_EXP,MEAN,ANN_ROLL,2026,NOW,,,'')&lt;/Q&gt;&lt;R&gt;1&lt;/R&gt;&lt;C&gt;1&lt;/C&gt;&lt;D xsi:type="xsd:double"&gt;58234.55&lt;/D&gt;&lt;/FQL&gt;&lt;FQL&gt;&lt;Q&gt;AMZN^FE_ESTIMATE(DEP_AMORT_EXP,MEAN,ANN_ROLL,2027,NOW,,,'')&lt;/Q&gt;&lt;R&gt;1&lt;/R&gt;&lt;C&gt;1&lt;/C&gt;&lt;D xsi:type="xsd:double"&gt;64625&lt;/D&gt;&lt;/FQL&gt;&lt;FQL&gt;&lt;Q&gt;AMZN^FE_ESTIMATE(CAPEX,MEAN,ANN_ROLL,2022,NOW,,,'')&lt;/Q&gt;&lt;R&gt;1&lt;/R&gt;&lt;C&gt;1&lt;/C&gt;&lt;D xsi:type="xsd:double"&gt;61050.723&lt;/D&gt;&lt;/FQL&gt;&lt;FQL&gt;&lt;Q&gt;AMZN^FE_ESTIMATE(CAPEX,MEAN,ANN_ROLL,2023,NOW,,,'')&lt;/Q&gt;&lt;R&gt;1&lt;/R&gt;&lt;C&gt;1&lt;/C&gt;&lt;D xsi:type="xsd:double"&gt;62598.887&lt;/D&gt;&lt;/FQL&gt;&lt;FQL&gt;&lt;Q&gt;AMZN^FE_ESTIMATE(CAPEX,MEAN,ANN_ROLL,2024,NOW,,,'')&lt;/Q&gt;&lt;R&gt;1&lt;/R&gt;&lt;C&gt;1&lt;/C&gt;&lt;D xsi:type="xsd:double"&gt;64481.453&lt;/D&gt;&lt;/FQL&gt;&lt;FQL&gt;&lt;Q&gt;AMZN^FE_ESTIMATE(CAPEX,MEAN,ANN_ROLL,2025,NOW,,,'')&lt;/Q&gt;&lt;R&gt;1&lt;/R&gt;&lt;C&gt;1&lt;/C&gt;&lt;D xsi:type="xsd:double"&gt;69493.41&lt;/D&gt;&lt;/FQL&gt;&lt;FQL&gt;&lt;Q&gt;AMZN^FE_ESTIMATE(CAPEX,MEAN,ANN_ROLL,2026,NOW,,,'')&lt;/Q&gt;&lt;R&gt;1&lt;/R&gt;&lt;C&gt;1&lt;/C&gt;&lt;D xsi:type="xsd:double"&gt;65697&lt;/D&gt;&lt;/FQL&gt;&lt;FQL&gt;&lt;Q&gt;AMZN^FE_ESTIMATE(CAPEX,MEAN,ANN_ROLL,2027,NOW,,,'')&lt;/Q&gt;&lt;R&gt;1&lt;/R&gt;&lt;C&gt;1&lt;/C&gt;&lt;D xsi:type="xsd:double"&gt;69051.93&lt;/D&gt;&lt;/FQL&gt;&lt;/Schema&gt;</t>
        </r>
      </text>
    </comment>
  </commentList>
</comments>
</file>

<file path=xl/sharedStrings.xml><?xml version="1.0" encoding="utf-8"?>
<sst xmlns="http://schemas.openxmlformats.org/spreadsheetml/2006/main" count="269" uniqueCount="251">
  <si>
    <t>This sheet contains FactSet XML data for use with this workbook's =FDS codes.  Modifying the worksheet's contents may damage the workbook's =FDS functionality.</t>
  </si>
  <si>
    <t>COST</t>
  </si>
  <si>
    <t>Total Liabilities</t>
  </si>
  <si>
    <t>Long-Term Debt</t>
  </si>
  <si>
    <t>% Debt</t>
  </si>
  <si>
    <t>Cost of Debt</t>
  </si>
  <si>
    <t>Tax Rate</t>
  </si>
  <si>
    <t>Total Equity</t>
  </si>
  <si>
    <t>% Equity</t>
  </si>
  <si>
    <t>CAPM</t>
  </si>
  <si>
    <t>Risk-Free Rate</t>
  </si>
  <si>
    <t>Beta</t>
  </si>
  <si>
    <t>Market Risk Premium</t>
  </si>
  <si>
    <t>Terminal Growth Rate</t>
  </si>
  <si>
    <t>WACC</t>
  </si>
  <si>
    <t>Figures in millions</t>
  </si>
  <si>
    <t>Terminal</t>
  </si>
  <si>
    <t>Revenue</t>
  </si>
  <si>
    <t>Growth (y/y)</t>
  </si>
  <si>
    <t>Free Cash Flow (FCF)</t>
  </si>
  <si>
    <t>FCF Margin</t>
  </si>
  <si>
    <t>Shares Outstanding, Diluted</t>
  </si>
  <si>
    <t>Change (y/y)</t>
  </si>
  <si>
    <t>FCF per share</t>
  </si>
  <si>
    <t>Discounted FCF per share</t>
  </si>
  <si>
    <t>Terminal Value (TV)</t>
  </si>
  <si>
    <t>Total Discounted FCF</t>
  </si>
  <si>
    <t>Enterprise Value</t>
  </si>
  <si>
    <t>Cash and Equivalents</t>
  </si>
  <si>
    <t>Debt</t>
  </si>
  <si>
    <t>Equity Value</t>
  </si>
  <si>
    <t>fiscalDateEnding</t>
  </si>
  <si>
    <t>estimatedRevGrowth_yearly</t>
  </si>
  <si>
    <t>2024-11-30</t>
  </si>
  <si>
    <t>2024-09-01</t>
  </si>
  <si>
    <t>2024-05-12</t>
  </si>
  <si>
    <t>2024-02-18</t>
  </si>
  <si>
    <t>2023-11-26</t>
  </si>
  <si>
    <t>2023-09-03</t>
  </si>
  <si>
    <t>2023-08-25</t>
  </si>
  <si>
    <t>2023-05-07</t>
  </si>
  <si>
    <t>2023-02-12</t>
  </si>
  <si>
    <t>2022-11-20</t>
  </si>
  <si>
    <t>2022-08-28</t>
  </si>
  <si>
    <t>2022-05-08</t>
  </si>
  <si>
    <t>2022-02-13</t>
  </si>
  <si>
    <t>2021-11-21</t>
  </si>
  <si>
    <t>2021-08-29</t>
  </si>
  <si>
    <t>2021-05-09</t>
  </si>
  <si>
    <t>2021-02-14</t>
  </si>
  <si>
    <t>2020-11-22</t>
  </si>
  <si>
    <t>2020-08-30</t>
  </si>
  <si>
    <t>2020-05-10</t>
  </si>
  <si>
    <t>2020-02-16</t>
  </si>
  <si>
    <t>2019-11-24</t>
  </si>
  <si>
    <t>2019-09-01</t>
  </si>
  <si>
    <t>2019-05-12</t>
  </si>
  <si>
    <t>2019-02-17</t>
  </si>
  <si>
    <t>2018-11-25</t>
  </si>
  <si>
    <t>2018-09-02</t>
  </si>
  <si>
    <t>2018-05-13</t>
  </si>
  <si>
    <t>2018-02-18</t>
  </si>
  <si>
    <t>2017-11-26</t>
  </si>
  <si>
    <t>2017-09-03</t>
  </si>
  <si>
    <t>2017-08-25</t>
  </si>
  <si>
    <t>2017-05-07</t>
  </si>
  <si>
    <t>2017-02-12</t>
  </si>
  <si>
    <t>2016-11-20</t>
  </si>
  <si>
    <t>2016-08-28</t>
  </si>
  <si>
    <t>2016-05-08</t>
  </si>
  <si>
    <t>2016-02-14</t>
  </si>
  <si>
    <t>2015-11-22</t>
  </si>
  <si>
    <t>2015-08-30</t>
  </si>
  <si>
    <t>2015-05-10</t>
  </si>
  <si>
    <t>2015-02-15</t>
  </si>
  <si>
    <t>2014-11-23</t>
  </si>
  <si>
    <t>2014-08-31</t>
  </si>
  <si>
    <t>2014-05-11</t>
  </si>
  <si>
    <t>2014-02-16</t>
  </si>
  <si>
    <t>2013-11-24</t>
  </si>
  <si>
    <t>2013-09-01</t>
  </si>
  <si>
    <t>2013-05-12</t>
  </si>
  <si>
    <t>2013-02-17</t>
  </si>
  <si>
    <t>2012-11-25</t>
  </si>
  <si>
    <t>2012-09-02</t>
  </si>
  <si>
    <t>2012-05-06</t>
  </si>
  <si>
    <t>2012-02-12</t>
  </si>
  <si>
    <t>2011-11-20</t>
  </si>
  <si>
    <t>2011-08-28</t>
  </si>
  <si>
    <t>2011-05-08</t>
  </si>
  <si>
    <t>2011-02-13</t>
  </si>
  <si>
    <t>2010-11-21</t>
  </si>
  <si>
    <t>2010-08-29</t>
  </si>
  <si>
    <t>2010-05-09</t>
  </si>
  <si>
    <t>2010-02-14</t>
  </si>
  <si>
    <t>2009-11-22</t>
  </si>
  <si>
    <t>2009-08-30</t>
  </si>
  <si>
    <t>2009-05-10</t>
  </si>
  <si>
    <t>2009-02-15</t>
  </si>
  <si>
    <t>2008-11-23</t>
  </si>
  <si>
    <t>2008-08-31</t>
  </si>
  <si>
    <t>2008-08-22</t>
  </si>
  <si>
    <t>2008-05-11</t>
  </si>
  <si>
    <t>2008-02-17</t>
  </si>
  <si>
    <t>2007-11-25</t>
  </si>
  <si>
    <t>2007-09-02</t>
  </si>
  <si>
    <t>2007-05-13</t>
  </si>
  <si>
    <t>2007-02-18</t>
  </si>
  <si>
    <t>2006-11-26</t>
  </si>
  <si>
    <t>2006-09-03</t>
  </si>
  <si>
    <t>2006-08-25</t>
  </si>
  <si>
    <t>2006-05-07</t>
  </si>
  <si>
    <t>2006-02-12</t>
  </si>
  <si>
    <t>2005-11-20</t>
  </si>
  <si>
    <t>2005-08-28</t>
  </si>
  <si>
    <t>2005-05-08</t>
  </si>
  <si>
    <t>2005-02-13</t>
  </si>
  <si>
    <t>2004-11-21</t>
  </si>
  <si>
    <t>2004-08-29</t>
  </si>
  <si>
    <t>2004-05-29</t>
  </si>
  <si>
    <t>2004-05-09</t>
  </si>
  <si>
    <t>2004-02-15</t>
  </si>
  <si>
    <t>2003-11-23</t>
  </si>
  <si>
    <t>2003-08-31</t>
  </si>
  <si>
    <t>2003-05-11</t>
  </si>
  <si>
    <t>2003-02-16</t>
  </si>
  <si>
    <t>2002-11-24</t>
  </si>
  <si>
    <t>2002-09-01</t>
  </si>
  <si>
    <t>2002-05-12</t>
  </si>
  <si>
    <t>2002-02-17</t>
  </si>
  <si>
    <t>2001-11-25</t>
  </si>
  <si>
    <t>2001-09-02</t>
  </si>
  <si>
    <t>2001-05-13</t>
  </si>
  <si>
    <t>2001-02-18</t>
  </si>
  <si>
    <t>2000-11-26</t>
  </si>
  <si>
    <t>2000-11-18</t>
  </si>
  <si>
    <t>2000-09-03</t>
  </si>
  <si>
    <t>2000-08-25</t>
  </si>
  <si>
    <t>2000-05-07</t>
  </si>
  <si>
    <t>2000-02-13</t>
  </si>
  <si>
    <t>1999-11-21</t>
  </si>
  <si>
    <t>1999-08-29</t>
  </si>
  <si>
    <t>1999-05-09</t>
  </si>
  <si>
    <t>1999-02-14</t>
  </si>
  <si>
    <t>1998-11-22</t>
  </si>
  <si>
    <t>1998-08-30</t>
  </si>
  <si>
    <t>1998-08-21</t>
  </si>
  <si>
    <t>1998-05-10</t>
  </si>
  <si>
    <t>1998-02-15</t>
  </si>
  <si>
    <t>1997-11-23</t>
  </si>
  <si>
    <t>1997-08-31</t>
  </si>
  <si>
    <t>1997-08-22</t>
  </si>
  <si>
    <t>1997-05-11</t>
  </si>
  <si>
    <t>1997-02-16</t>
  </si>
  <si>
    <t>1996-11-24</t>
  </si>
  <si>
    <t>1996-09-01</t>
  </si>
  <si>
    <t>1996-08-23</t>
  </si>
  <si>
    <t>1996-05-12</t>
  </si>
  <si>
    <t>1996-02-18</t>
  </si>
  <si>
    <t>1995-11-26</t>
  </si>
  <si>
    <t>1995-11-18</t>
  </si>
  <si>
    <t>1995-09-03</t>
  </si>
  <si>
    <t>1995-08-25</t>
  </si>
  <si>
    <t>1995-06-03</t>
  </si>
  <si>
    <t>1995-05-07</t>
  </si>
  <si>
    <t>1995-02-12</t>
  </si>
  <si>
    <t>1995-02-07</t>
  </si>
  <si>
    <t>1994-11-20</t>
  </si>
  <si>
    <t>1994-08-28</t>
  </si>
  <si>
    <t>1994-05-08</t>
  </si>
  <si>
    <t>1994-02-13</t>
  </si>
  <si>
    <t>1993-11-21</t>
  </si>
  <si>
    <t>1993-11-13</t>
  </si>
  <si>
    <t>1993-08-31</t>
  </si>
  <si>
    <t>1993-05-31</t>
  </si>
  <si>
    <t>1993-02-28</t>
  </si>
  <si>
    <t>1992-11-30</t>
  </si>
  <si>
    <t>1992-08-31</t>
  </si>
  <si>
    <t>1992-05-31</t>
  </si>
  <si>
    <t>1992-02-29</t>
  </si>
  <si>
    <t>1991-11-30</t>
  </si>
  <si>
    <t>1991-08-31</t>
  </si>
  <si>
    <t>1991-05-31</t>
  </si>
  <si>
    <t>1991-02-28</t>
  </si>
  <si>
    <t>1990-11-30</t>
  </si>
  <si>
    <t>1990-08-31</t>
  </si>
  <si>
    <t>1990-05-31</t>
  </si>
  <si>
    <t>1990-02-28</t>
  </si>
  <si>
    <t>1989-11-30</t>
  </si>
  <si>
    <t>1989-08-31</t>
  </si>
  <si>
    <t>1989-05-31</t>
  </si>
  <si>
    <t>1989-02-28</t>
  </si>
  <si>
    <t>1988-11-30</t>
  </si>
  <si>
    <t>1988-08-31</t>
  </si>
  <si>
    <t>1988-05-31</t>
  </si>
  <si>
    <t>1988-02-29</t>
  </si>
  <si>
    <t>1987-11-30</t>
  </si>
  <si>
    <t>1987-08-31</t>
  </si>
  <si>
    <t>1987-05-31</t>
  </si>
  <si>
    <t>1987-02-28</t>
  </si>
  <si>
    <t>1986-11-30</t>
  </si>
  <si>
    <t>1986-08-31</t>
  </si>
  <si>
    <t>1986-05-31</t>
  </si>
  <si>
    <t>1986-02-28</t>
  </si>
  <si>
    <t>1985-11-30</t>
  </si>
  <si>
    <t>1985-08-31</t>
  </si>
  <si>
    <t>date</t>
  </si>
  <si>
    <t>revenue</t>
  </si>
  <si>
    <t>Deriv1</t>
  </si>
  <si>
    <t>Static1</t>
  </si>
  <si>
    <t>grossProfit_margin</t>
  </si>
  <si>
    <t>FCF_margin</t>
  </si>
  <si>
    <t>2024-07-31</t>
  </si>
  <si>
    <t>2024-04-30</t>
  </si>
  <si>
    <t>2024-01-31</t>
  </si>
  <si>
    <t>2023-10-31</t>
  </si>
  <si>
    <t># Get a mathematical function written to get the first derivative. Maybe start with a graph, and go from there?</t>
  </si>
  <si>
    <t>2023-07-31</t>
  </si>
  <si>
    <t>calculus functions in python/r, to start, do a static program maybe, just to get a foundation going. Might be a little bit of a detour for now</t>
  </si>
  <si>
    <t>2023-04-30</t>
  </si>
  <si>
    <t>2023-01-31</t>
  </si>
  <si>
    <t>I am leaving off by trying to determine a systematic way to project revenue growth. Keep it as simple as can be, for now</t>
  </si>
  <si>
    <t>2022-10-31</t>
  </si>
  <si>
    <t>Current figures are quarterly. I need annual</t>
  </si>
  <si>
    <t>2022-07-31</t>
  </si>
  <si>
    <t>2022-04-30</t>
  </si>
  <si>
    <t>2022-01-31</t>
  </si>
  <si>
    <t>2021-10-31</t>
  </si>
  <si>
    <t>add more to show the return, and also the market cap valuations</t>
  </si>
  <si>
    <t>2021-07-31</t>
  </si>
  <si>
    <t>2021-04-30</t>
  </si>
  <si>
    <t>2021-01-31</t>
  </si>
  <si>
    <t>2020-10-31</t>
  </si>
  <si>
    <t>2020-07-31</t>
  </si>
  <si>
    <t>2020-04-30</t>
  </si>
  <si>
    <t>2020-01-31</t>
  </si>
  <si>
    <t>2019-10-31</t>
  </si>
  <si>
    <t>2019-07-31</t>
  </si>
  <si>
    <t>2019-04-30</t>
  </si>
  <si>
    <t>2019-01-31</t>
  </si>
  <si>
    <t>2018-10-31</t>
  </si>
  <si>
    <t>2018-07-31</t>
  </si>
  <si>
    <t>2018-04-30</t>
  </si>
  <si>
    <t>2018-01-31</t>
  </si>
  <si>
    <t>Mean</t>
  </si>
  <si>
    <t>Median</t>
  </si>
  <si>
    <t>Years</t>
  </si>
  <si>
    <t>Timing Standard</t>
  </si>
  <si>
    <t>M</t>
  </si>
  <si>
    <t>W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</si>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</sst>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%"/>
    <numFmt numFmtId="165" formatCode="_(&quot;$&quot;* #,##0_);_(&quot;$&quot;* \(#,##0\);_(&quot;$&quot;* &quot;-&quot;??_);_(@_)"/>
    <numFmt numFmtId="166" formatCode="_(* #,##0_);_(* \(#,##0\);_(* &quot;-&quot;??_);_(@_)"/>
    <numFmt numFmtId="167" formatCode="0.000"/>
    <numFmt numFmtId="168" formatCode="0.0000"/>
    <numFmt numFmtId="169" formatCode="yyyy\-mm\-dd;@"/>
    <numFmt numFmtId="170" formatCode="0.0%;\(0.0%\)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i/>
      <sz val="11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0"/>
      <name val="Arial"/>
      <family val="2"/>
    </font>
    <font>
      <i/>
      <sz val="11"/>
      <color rgb="FF0005C6"/>
      <name val="Calibri"/>
      <family val="2"/>
      <scheme val="minor"/>
    </font>
    <font>
      <sz val="11"/>
      <color rgb="FF0005C6"/>
      <name val="Calibri"/>
      <family val="2"/>
      <scheme val="minor"/>
    </font>
    <font>
      <sz val="11"/>
      <color rgb="FF388127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</fills>
  <borders count="18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double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9" fontId="1" fillId="0" borderId="0"/>
    <xf numFmtId="0" fontId="4" fillId="0" borderId="0"/>
    <xf numFmtId="43" fontId="1" fillId="0" borderId="0"/>
    <xf numFmtId="44" fontId="1" fillId="0" borderId="0"/>
    <xf numFmtId="0" fontId="10" fillId="0" borderId="0">
      <alignment vertical="top"/>
    </xf>
  </cellStyleXfs>
  <cellXfs count="73">
    <xf numFmtId="0" fontId="0" fillId="0" borderId="0" xfId="0"/>
    <xf numFmtId="0" fontId="5" fillId="3" borderId="0" xfId="0" applyFont="1" applyFill="1"/>
    <xf numFmtId="14" fontId="0" fillId="0" borderId="0" xfId="0" applyNumberFormat="1"/>
    <xf numFmtId="0" fontId="3" fillId="0" borderId="0" xfId="0" applyFont="1"/>
    <xf numFmtId="0" fontId="5" fillId="3" borderId="6" xfId="0" applyFont="1" applyFill="1" applyBorder="1"/>
    <xf numFmtId="0" fontId="3" fillId="0" borderId="6" xfId="0" applyFont="1" applyBorder="1"/>
    <xf numFmtId="0" fontId="0" fillId="0" borderId="6" xfId="0" quotePrefix="1" applyBorder="1"/>
    <xf numFmtId="0" fontId="0" fillId="0" borderId="7" xfId="0" quotePrefix="1" applyBorder="1"/>
    <xf numFmtId="0" fontId="0" fillId="0" borderId="7" xfId="0" applyBorder="1"/>
    <xf numFmtId="0" fontId="0" fillId="0" borderId="4" xfId="0" applyBorder="1"/>
    <xf numFmtId="0" fontId="7" fillId="3" borderId="6" xfId="0" applyFont="1" applyFill="1" applyBorder="1" applyAlignment="1">
      <alignment horizontal="left" indent="1"/>
    </xf>
    <xf numFmtId="164" fontId="0" fillId="0" borderId="0" xfId="0" applyNumberFormat="1"/>
    <xf numFmtId="164" fontId="12" fillId="0" borderId="0" xfId="0" applyNumberFormat="1" applyFont="1" applyAlignment="1">
      <alignment horizontal="right"/>
    </xf>
    <xf numFmtId="165" fontId="3" fillId="0" borderId="0" xfId="4" applyNumberFormat="1" applyFont="1"/>
    <xf numFmtId="37" fontId="5" fillId="0" borderId="0" xfId="0" applyNumberFormat="1" applyFont="1"/>
    <xf numFmtId="37" fontId="6" fillId="0" borderId="0" xfId="0" applyNumberFormat="1" applyFont="1"/>
    <xf numFmtId="164" fontId="1" fillId="0" borderId="0" xfId="1" applyNumberFormat="1"/>
    <xf numFmtId="166" fontId="1" fillId="0" borderId="0" xfId="3" applyNumberFormat="1"/>
    <xf numFmtId="43" fontId="0" fillId="0" borderId="0" xfId="0" applyNumberFormat="1"/>
    <xf numFmtId="165" fontId="5" fillId="3" borderId="2" xfId="4" applyNumberFormat="1" applyFont="1" applyFill="1" applyBorder="1"/>
    <xf numFmtId="164" fontId="11" fillId="3" borderId="2" xfId="1" applyNumberFormat="1" applyFont="1" applyFill="1" applyBorder="1"/>
    <xf numFmtId="166" fontId="8" fillId="3" borderId="2" xfId="3" applyNumberFormat="1" applyFont="1" applyFill="1" applyBorder="1"/>
    <xf numFmtId="0" fontId="6" fillId="3" borderId="4" xfId="0" applyFont="1" applyFill="1" applyBorder="1"/>
    <xf numFmtId="167" fontId="0" fillId="0" borderId="0" xfId="0" applyNumberFormat="1"/>
    <xf numFmtId="168" fontId="0" fillId="0" borderId="0" xfId="0" applyNumberFormat="1"/>
    <xf numFmtId="164" fontId="7" fillId="3" borderId="2" xfId="1" applyNumberFormat="1" applyFont="1" applyFill="1" applyBorder="1"/>
    <xf numFmtId="0" fontId="14" fillId="0" borderId="0" xfId="0" applyFont="1" applyAlignment="1">
      <alignment horizontal="center" vertical="top"/>
    </xf>
    <xf numFmtId="0" fontId="14" fillId="0" borderId="10" xfId="0" applyFont="1" applyBorder="1" applyAlignment="1">
      <alignment horizontal="center" vertical="top"/>
    </xf>
    <xf numFmtId="169" fontId="0" fillId="0" borderId="0" xfId="0" applyNumberFormat="1"/>
    <xf numFmtId="14" fontId="14" fillId="0" borderId="10" xfId="0" applyNumberFormat="1" applyFont="1" applyBorder="1" applyAlignment="1">
      <alignment horizontal="center" vertical="top"/>
    </xf>
    <xf numFmtId="164" fontId="7" fillId="3" borderId="0" xfId="1" applyNumberFormat="1" applyFont="1" applyFill="1"/>
    <xf numFmtId="39" fontId="5" fillId="0" borderId="5" xfId="0" applyNumberFormat="1" applyFont="1" applyBorder="1"/>
    <xf numFmtId="39" fontId="5" fillId="0" borderId="1" xfId="0" applyNumberFormat="1" applyFont="1" applyBorder="1"/>
    <xf numFmtId="39" fontId="6" fillId="0" borderId="2" xfId="0" applyNumberFormat="1" applyFont="1" applyBorder="1"/>
    <xf numFmtId="0" fontId="3" fillId="0" borderId="11" xfId="0" applyFont="1" applyBorder="1"/>
    <xf numFmtId="2" fontId="5" fillId="0" borderId="0" xfId="1" applyNumberFormat="1" applyFont="1"/>
    <xf numFmtId="165" fontId="5" fillId="3" borderId="0" xfId="4" applyNumberFormat="1" applyFont="1" applyFill="1"/>
    <xf numFmtId="165" fontId="5" fillId="0" borderId="0" xfId="1" applyNumberFormat="1" applyFont="1"/>
    <xf numFmtId="164" fontId="11" fillId="3" borderId="0" xfId="1" applyNumberFormat="1" applyFont="1" applyFill="1"/>
    <xf numFmtId="3" fontId="5" fillId="3" borderId="0" xfId="0" applyNumberFormat="1" applyFont="1" applyFill="1"/>
    <xf numFmtId="166" fontId="13" fillId="3" borderId="0" xfId="3" applyNumberFormat="1" applyFont="1" applyFill="1"/>
    <xf numFmtId="166" fontId="8" fillId="3" borderId="0" xfId="3" applyNumberFormat="1" applyFont="1" applyFill="1"/>
    <xf numFmtId="170" fontId="7" fillId="0" borderId="0" xfId="1" applyNumberFormat="1" applyFont="1"/>
    <xf numFmtId="0" fontId="9" fillId="2" borderId="4" xfId="0" applyFont="1" applyFill="1" applyBorder="1"/>
    <xf numFmtId="0" fontId="2" fillId="2" borderId="3" xfId="0" applyFont="1" applyFill="1" applyBorder="1" applyAlignment="1">
      <alignment horizontal="right"/>
    </xf>
    <xf numFmtId="0" fontId="2" fillId="2" borderId="5" xfId="0" applyFont="1" applyFill="1" applyBorder="1" applyAlignment="1">
      <alignment horizontal="right"/>
    </xf>
    <xf numFmtId="0" fontId="0" fillId="0" borderId="6" xfId="0" applyBorder="1"/>
    <xf numFmtId="0" fontId="6" fillId="3" borderId="6" xfId="0" applyFont="1" applyFill="1" applyBorder="1"/>
    <xf numFmtId="0" fontId="3" fillId="0" borderId="4" xfId="0" applyFont="1" applyBorder="1"/>
    <xf numFmtId="0" fontId="3" fillId="0" borderId="8" xfId="0" applyFont="1" applyBorder="1" applyAlignment="1">
      <alignment horizontal="left" indent="1"/>
    </xf>
    <xf numFmtId="165" fontId="3" fillId="0" borderId="13" xfId="4" applyNumberFormat="1" applyFont="1" applyBorder="1"/>
    <xf numFmtId="37" fontId="5" fillId="3" borderId="3" xfId="0" applyNumberFormat="1" applyFont="1" applyFill="1" applyBorder="1"/>
    <xf numFmtId="44" fontId="1" fillId="0" borderId="3" xfId="4" applyBorder="1"/>
    <xf numFmtId="0" fontId="2" fillId="2" borderId="14" xfId="0" applyFont="1" applyFill="1" applyBorder="1" applyAlignment="1">
      <alignment horizontal="right"/>
    </xf>
    <xf numFmtId="165" fontId="5" fillId="0" borderId="15" xfId="4" applyNumberFormat="1" applyFont="1" applyBorder="1"/>
    <xf numFmtId="3" fontId="5" fillId="3" borderId="15" xfId="0" applyNumberFormat="1" applyFont="1" applyFill="1" applyBorder="1"/>
    <xf numFmtId="37" fontId="5" fillId="3" borderId="14" xfId="0" applyNumberFormat="1" applyFont="1" applyFill="1" applyBorder="1"/>
    <xf numFmtId="170" fontId="7" fillId="0" borderId="15" xfId="1" applyNumberFormat="1" applyFont="1" applyBorder="1"/>
    <xf numFmtId="44" fontId="1" fillId="0" borderId="14" xfId="4" applyBorder="1"/>
    <xf numFmtId="165" fontId="3" fillId="0" borderId="16" xfId="4" applyNumberFormat="1" applyFont="1" applyBorder="1"/>
    <xf numFmtId="44" fontId="6" fillId="4" borderId="12" xfId="0" applyNumberFormat="1" applyFont="1" applyFill="1" applyBorder="1"/>
    <xf numFmtId="44" fontId="1" fillId="0" borderId="13" xfId="4" applyBorder="1"/>
    <xf numFmtId="44" fontId="1" fillId="0" borderId="9" xfId="4" applyBorder="1"/>
    <xf numFmtId="37" fontId="5" fillId="3" borderId="3" xfId="1" applyNumberFormat="1" applyFont="1" applyFill="1" applyBorder="1"/>
    <xf numFmtId="37" fontId="5" fillId="3" borderId="5" xfId="1" applyNumberFormat="1" applyFont="1" applyFill="1" applyBorder="1"/>
    <xf numFmtId="14" fontId="15" fillId="0" borderId="0" xfId="0" applyNumberFormat="1" applyFont="1" applyAlignment="1">
      <alignment horizontal="center" vertical="top"/>
    </xf>
    <xf numFmtId="170" fontId="11" fillId="0" borderId="0" xfId="1" applyNumberFormat="1" applyFont="1"/>
    <xf numFmtId="170" fontId="11" fillId="0" borderId="2" xfId="1" applyNumberFormat="1" applyFont="1" applyBorder="1"/>
    <xf numFmtId="166" fontId="1" fillId="0" borderId="15" xfId="3" applyNumberFormat="1" applyBorder="1"/>
    <xf numFmtId="166" fontId="1" fillId="0" borderId="2" xfId="3" applyNumberFormat="1" applyBorder="1"/>
    <xf numFmtId="44" fontId="1" fillId="0" borderId="5" xfId="4" applyBorder="1"/>
    <xf numFmtId="39" fontId="5" fillId="0" borderId="2" xfId="0" applyNumberFormat="1" applyFont="1" applyBorder="1"/>
    <xf numFmtId="0" fontId="16" fillId="0" borderId="17" xfId="0" applyFont="1" applyBorder="1" applyAlignment="1">
      <alignment horizontal="center" vertical="top"/>
    </xf>
  </cellXfs>
  <cellStyles count="6">
    <cellStyle name="Comma" xfId="3" builtinId="3"/>
    <cellStyle name="Currency" xfId="4" builtinId="4"/>
    <cellStyle name="Normal" xfId="0" builtinId="0"/>
    <cellStyle name="Normal 2" xfId="2" xr:uid="{00000000-0005-0000-0000-000002000000}"/>
    <cellStyle name="Normal 3" xfId="5" xr:uid="{00000000-0005-0000-0000-000005000000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1"/>
  <sheetViews>
    <sheetView workbookViewId="0"/>
  </sheetViews>
  <sheetFormatPr defaultColWidth="8.85546875" defaultRowHeight="15" x14ac:dyDescent="0.25"/>
  <sheetData>
    <row r="1" spans="1:2" x14ac:dyDescent="0.25">
      <c r="B1" t="s">
        <v>0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4"/>
  <sheetViews>
    <sheetView workbookViewId="0"/>
  </sheetViews>
  <sheetFormatPr defaultRowHeight="15" x14ac:dyDescent="0.25"/>
  <sheetData>
    <row r="1" spans="1:2" x14ac:dyDescent="0.25">
      <c r="B1" s="72" t="s">
        <v>1</v>
      </c>
    </row>
    <row r="2" spans="1:2" x14ac:dyDescent="0.25">
      <c r="A2" s="72" t="s">
        <v>2</v>
      </c>
      <c r="B2">
        <v>46209000000</v>
      </c>
    </row>
    <row r="3" spans="1:2" x14ac:dyDescent="0.25">
      <c r="A3" s="72" t="s">
        <v>3</v>
      </c>
      <c r="B3">
        <v>5794000000</v>
      </c>
    </row>
    <row r="4" spans="1:2" x14ac:dyDescent="0.25">
      <c r="A4" s="72" t="s">
        <v>4</v>
      </c>
      <c r="B4">
        <v>0.19696763666032091</v>
      </c>
    </row>
    <row r="5" spans="1:2" x14ac:dyDescent="0.25">
      <c r="A5" s="72" t="s">
        <v>5</v>
      </c>
      <c r="B5">
        <v>1.8985157059026581E-3</v>
      </c>
    </row>
    <row r="6" spans="1:2" x14ac:dyDescent="0.25">
      <c r="A6" s="72" t="s">
        <v>6</v>
      </c>
      <c r="B6">
        <v>0.21</v>
      </c>
    </row>
    <row r="7" spans="1:2" x14ac:dyDescent="0.25">
      <c r="A7" s="72" t="s">
        <v>7</v>
      </c>
      <c r="B7">
        <v>23622000000</v>
      </c>
    </row>
    <row r="8" spans="1:2" x14ac:dyDescent="0.25">
      <c r="A8" s="72" t="s">
        <v>8</v>
      </c>
      <c r="B8">
        <v>0.80303236333967909</v>
      </c>
    </row>
    <row r="9" spans="1:2" x14ac:dyDescent="0.25">
      <c r="A9" s="72" t="s">
        <v>9</v>
      </c>
      <c r="B9">
        <v>9.8791462159663335E-2</v>
      </c>
    </row>
    <row r="10" spans="1:2" x14ac:dyDescent="0.25">
      <c r="A10" s="72" t="s">
        <v>10</v>
      </c>
      <c r="B10">
        <v>4.0729999542236328E-2</v>
      </c>
    </row>
    <row r="11" spans="1:2" x14ac:dyDescent="0.25">
      <c r="A11" s="72" t="s">
        <v>11</v>
      </c>
      <c r="B11">
        <v>0.83819059093018355</v>
      </c>
    </row>
    <row r="12" spans="1:2" x14ac:dyDescent="0.25">
      <c r="A12" s="72" t="s">
        <v>12</v>
      </c>
      <c r="B12">
        <v>6.9270000457763672E-2</v>
      </c>
    </row>
    <row r="13" spans="1:2" x14ac:dyDescent="0.25">
      <c r="A13" s="72" t="s">
        <v>13</v>
      </c>
      <c r="B13">
        <v>0.02</v>
      </c>
    </row>
    <row r="14" spans="1:2" x14ac:dyDescent="0.25">
      <c r="A14" s="72" t="s">
        <v>14</v>
      </c>
      <c r="B14">
        <v>7.9628158795742698E-2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theme="9" tint="0.39997558519241921"/>
    <pageSetUpPr fitToPage="1"/>
  </sheetPr>
  <dimension ref="B1:V23"/>
  <sheetViews>
    <sheetView showGridLines="0" tabSelected="1" topLeftCell="A2" zoomScale="85" zoomScaleNormal="85" workbookViewId="0">
      <selection activeCell="M4" sqref="M4"/>
    </sheetView>
  </sheetViews>
  <sheetFormatPr defaultColWidth="9.5703125" defaultRowHeight="15" outlineLevelRow="1" outlineLevelCol="1" x14ac:dyDescent="0.25"/>
  <cols>
    <col min="1" max="1" width="4.140625" customWidth="1"/>
    <col min="2" max="2" width="21.140625" customWidth="1"/>
    <col min="3" max="3" width="10.5703125" customWidth="1"/>
    <col min="4" max="11" width="10.5703125" customWidth="1" outlineLevel="1"/>
    <col min="12" max="22" width="10.5703125" customWidth="1"/>
  </cols>
  <sheetData>
    <row r="1" spans="2:22" hidden="1" outlineLevel="1" x14ac:dyDescent="0.25">
      <c r="C1" s="28"/>
      <c r="D1" s="65" t="str">
        <f>Python!A31</f>
        <v>2017-11-26</v>
      </c>
      <c r="E1" s="65" t="str">
        <f>Python!A27</f>
        <v>2018-11-25</v>
      </c>
      <c r="F1" s="65" t="str">
        <f>Python!A23</f>
        <v>2019-11-24</v>
      </c>
      <c r="G1" s="65" t="str">
        <f>Python!A19</f>
        <v>2020-11-22</v>
      </c>
      <c r="H1" s="65" t="str">
        <f>Python!A15</f>
        <v>2021-11-21</v>
      </c>
      <c r="I1" s="65" t="str">
        <f>Python!A11</f>
        <v>2022-11-20</v>
      </c>
      <c r="J1" s="65" t="str">
        <f>Python!A7</f>
        <v>2023-09-03</v>
      </c>
      <c r="K1" s="65" t="str">
        <f>Python!A3</f>
        <v>2024-09-01</v>
      </c>
      <c r="L1" s="28">
        <f t="shared" ref="L1:U1" si="0">EDATE(K1, 12)</f>
        <v>45901</v>
      </c>
      <c r="M1" s="28">
        <f t="shared" si="0"/>
        <v>46266</v>
      </c>
      <c r="N1" s="28">
        <f t="shared" si="0"/>
        <v>46631</v>
      </c>
      <c r="O1" s="28">
        <f t="shared" si="0"/>
        <v>46997</v>
      </c>
      <c r="P1" s="28">
        <f t="shared" si="0"/>
        <v>47362</v>
      </c>
      <c r="Q1" s="28">
        <f t="shared" si="0"/>
        <v>47727</v>
      </c>
      <c r="R1" s="28">
        <f t="shared" si="0"/>
        <v>48092</v>
      </c>
      <c r="S1" s="28">
        <f t="shared" si="0"/>
        <v>48458</v>
      </c>
      <c r="T1" s="28">
        <f t="shared" si="0"/>
        <v>48823</v>
      </c>
      <c r="U1" s="28">
        <f t="shared" si="0"/>
        <v>49188</v>
      </c>
    </row>
    <row r="2" spans="2:22" ht="15.95" customHeight="1" collapsed="1" x14ac:dyDescent="0.25">
      <c r="C2" s="12"/>
      <c r="D2" s="12"/>
      <c r="E2" s="12"/>
      <c r="F2" s="12"/>
      <c r="G2" s="12"/>
      <c r="H2" s="12"/>
      <c r="J2" s="2"/>
    </row>
    <row r="3" spans="2:22" x14ac:dyDescent="0.25">
      <c r="B3" s="43" t="s">
        <v>15</v>
      </c>
      <c r="C3" s="44"/>
      <c r="D3" s="44">
        <f t="shared" ref="D3:U3" si="1">YEAR(D1)</f>
        <v>2017</v>
      </c>
      <c r="E3" s="44">
        <f t="shared" si="1"/>
        <v>2018</v>
      </c>
      <c r="F3" s="44">
        <f t="shared" si="1"/>
        <v>2019</v>
      </c>
      <c r="G3" s="44">
        <f t="shared" si="1"/>
        <v>2020</v>
      </c>
      <c r="H3" s="44">
        <f t="shared" si="1"/>
        <v>2021</v>
      </c>
      <c r="I3" s="44">
        <f t="shared" si="1"/>
        <v>2022</v>
      </c>
      <c r="J3" s="44">
        <f t="shared" si="1"/>
        <v>2023</v>
      </c>
      <c r="K3" s="53">
        <f t="shared" si="1"/>
        <v>2024</v>
      </c>
      <c r="L3" s="44">
        <f t="shared" si="1"/>
        <v>2025</v>
      </c>
      <c r="M3" s="44">
        <f t="shared" si="1"/>
        <v>2026</v>
      </c>
      <c r="N3" s="44">
        <f t="shared" si="1"/>
        <v>2027</v>
      </c>
      <c r="O3" s="44">
        <f t="shared" si="1"/>
        <v>2028</v>
      </c>
      <c r="P3" s="44">
        <f t="shared" si="1"/>
        <v>2029</v>
      </c>
      <c r="Q3" s="44">
        <f t="shared" si="1"/>
        <v>2030</v>
      </c>
      <c r="R3" s="44">
        <f t="shared" si="1"/>
        <v>2031</v>
      </c>
      <c r="S3" s="44">
        <f t="shared" si="1"/>
        <v>2032</v>
      </c>
      <c r="T3" s="44">
        <f t="shared" si="1"/>
        <v>2033</v>
      </c>
      <c r="U3" s="44">
        <f t="shared" si="1"/>
        <v>2034</v>
      </c>
      <c r="V3" s="45" t="s">
        <v>16</v>
      </c>
    </row>
    <row r="4" spans="2:22" s="1" customFormat="1" x14ac:dyDescent="0.25">
      <c r="B4" s="47" t="s">
        <v>17</v>
      </c>
      <c r="C4" s="36"/>
      <c r="D4" s="36">
        <f>IFERROR(INDEX(Python!$1:$1048576,MATCH(DCF_Simple!D$1,Python!$A:$A,0),MATCH(DCF_Simple!$B4,Python!$1:$1,0))/1000000,0)</f>
        <v>132735</v>
      </c>
      <c r="E4" s="36">
        <f>IFERROR(INDEX(Python!$1:$1048576,MATCH(DCF_Simple!E$1,Python!$A:$A,0),MATCH(DCF_Simple!$B4,Python!$1:$1,0))/1000000,0)</f>
        <v>144836</v>
      </c>
      <c r="F4" s="36">
        <f>IFERROR(INDEX(Python!$1:$1048576,MATCH(DCF_Simple!F$1,Python!$A:$A,0),MATCH(DCF_Simple!$B4,Python!$1:$1,0))/1000000,0)</f>
        <v>154674</v>
      </c>
      <c r="G4" s="36">
        <f>IFERROR(INDEX(Python!$1:$1048576,MATCH(DCF_Simple!G$1,Python!$A:$A,0),MATCH(DCF_Simple!$B4,Python!$1:$1,0))/1000000,0)</f>
        <v>172929</v>
      </c>
      <c r="H4" s="36">
        <f>IFERROR(INDEX(Python!$1:$1048576,MATCH(DCF_Simple!H$1,Python!$A:$A,0),MATCH(DCF_Simple!$B4,Python!$1:$1,0))/1000000,0)</f>
        <v>203084</v>
      </c>
      <c r="I4" s="36">
        <f>IFERROR(INDEX(Python!$1:$1048576,MATCH(DCF_Simple!I$1,Python!$A:$A,0),MATCH(DCF_Simple!$B4,Python!$1:$1,0))/1000000,0)</f>
        <v>231028</v>
      </c>
      <c r="J4" s="36">
        <f>IFERROR(INDEX(Python!$1:$1048576,MATCH(DCF_Simple!J$1,Python!$A:$A,0),MATCH(DCF_Simple!$B4,Python!$1:$1,0))/1000000,0)</f>
        <v>242290</v>
      </c>
      <c r="K4" s="54">
        <f>IFERROR(INDEX(Python!$1:$1048576,MATCH(DCF_Simple!K$1,Python!$A:$A,0),MATCH(DCF_Simple!$B4,Python!$1:$1,0))/1000000,0)</f>
        <v>254453</v>
      </c>
      <c r="L4" s="37">
        <f t="shared" ref="L4:U4" si="2">K4*(1+L5)</f>
        <v>274377.27874876728</v>
      </c>
      <c r="M4" s="36">
        <f t="shared" si="2"/>
        <v>295861.67619787838</v>
      </c>
      <c r="N4" s="36">
        <f t="shared" si="2"/>
        <v>319028.35337458312</v>
      </c>
      <c r="O4" s="36">
        <f t="shared" si="2"/>
        <v>344009.03680686897</v>
      </c>
      <c r="P4" s="36">
        <f t="shared" si="2"/>
        <v>370945.76752505661</v>
      </c>
      <c r="Q4" s="36">
        <f t="shared" si="2"/>
        <v>399991.70871201315</v>
      </c>
      <c r="R4" s="36">
        <f t="shared" si="2"/>
        <v>431312.01659430919</v>
      </c>
      <c r="S4" s="36">
        <f t="shared" si="2"/>
        <v>465084.77952623751</v>
      </c>
      <c r="T4" s="36">
        <f t="shared" si="2"/>
        <v>501502.03060635738</v>
      </c>
      <c r="U4" s="36">
        <f t="shared" si="2"/>
        <v>540770.8395843372</v>
      </c>
      <c r="V4" s="19">
        <f>U4</f>
        <v>540770.8395843372</v>
      </c>
    </row>
    <row r="5" spans="2:22" s="1" customFormat="1" x14ac:dyDescent="0.25">
      <c r="B5" s="10" t="s">
        <v>18</v>
      </c>
      <c r="C5" s="30"/>
      <c r="D5" s="30"/>
      <c r="E5" s="42">
        <f t="shared" ref="E5:K5" si="3">IFERROR(E4/D4-1,"")</f>
        <v>9.1166610163107009E-2</v>
      </c>
      <c r="F5" s="42">
        <f t="shared" si="3"/>
        <v>6.7925101494103579E-2</v>
      </c>
      <c r="G5" s="42">
        <f t="shared" si="3"/>
        <v>0.11802242135071173</v>
      </c>
      <c r="H5" s="42">
        <f t="shared" si="3"/>
        <v>0.17437792388783846</v>
      </c>
      <c r="I5" s="42">
        <f t="shared" si="3"/>
        <v>0.1375982352130154</v>
      </c>
      <c r="J5" s="42">
        <f t="shared" si="3"/>
        <v>4.8747337985006078E-2</v>
      </c>
      <c r="K5" s="57">
        <f t="shared" si="3"/>
        <v>5.0200173345990251E-2</v>
      </c>
      <c r="L5" s="38">
        <f>Python!F2</f>
        <v>7.8302392774961538E-2</v>
      </c>
      <c r="M5" s="38">
        <f>L5</f>
        <v>7.8302392774961538E-2</v>
      </c>
      <c r="N5" s="38">
        <f t="shared" ref="N5:U5" si="4">M5</f>
        <v>7.8302392774961538E-2</v>
      </c>
      <c r="O5" s="38">
        <f t="shared" si="4"/>
        <v>7.8302392774961538E-2</v>
      </c>
      <c r="P5" s="38">
        <f t="shared" si="4"/>
        <v>7.8302392774961538E-2</v>
      </c>
      <c r="Q5" s="38">
        <f t="shared" si="4"/>
        <v>7.8302392774961538E-2</v>
      </c>
      <c r="R5" s="38">
        <f t="shared" si="4"/>
        <v>7.8302392774961538E-2</v>
      </c>
      <c r="S5" s="38">
        <f t="shared" si="4"/>
        <v>7.8302392774961538E-2</v>
      </c>
      <c r="T5" s="38">
        <f t="shared" si="4"/>
        <v>7.8302392774961538E-2</v>
      </c>
      <c r="U5" s="38">
        <f t="shared" si="4"/>
        <v>7.8302392774961538E-2</v>
      </c>
      <c r="V5" s="20"/>
    </row>
    <row r="6" spans="2:22" s="1" customFormat="1" ht="7.5" customHeight="1" x14ac:dyDescent="0.25">
      <c r="B6" s="4"/>
      <c r="C6" s="39"/>
      <c r="D6" s="39"/>
      <c r="E6" s="39"/>
      <c r="F6" s="39"/>
      <c r="G6" s="39"/>
      <c r="H6" s="39"/>
      <c r="I6" s="39"/>
      <c r="J6" s="39"/>
      <c r="K6" s="55"/>
      <c r="L6" s="40"/>
      <c r="M6" s="41"/>
      <c r="N6" s="41"/>
      <c r="O6" s="41"/>
      <c r="P6" s="41"/>
      <c r="Q6" s="41"/>
      <c r="R6" s="41"/>
      <c r="S6" s="41"/>
      <c r="T6" s="41"/>
      <c r="U6" s="41"/>
      <c r="V6" s="21"/>
    </row>
    <row r="7" spans="2:22" s="1" customFormat="1" x14ac:dyDescent="0.25">
      <c r="B7" s="22" t="s">
        <v>19</v>
      </c>
      <c r="C7" s="51"/>
      <c r="D7" s="51">
        <f>IFERROR(INDEX(Python!$1:$1048576,MATCH(DCF_Simple!D$1,Python!$A:$A,0),MATCH(DCF_Simple!$B7,Python!$1:$1,0))/1000000,0)</f>
        <v>3284</v>
      </c>
      <c r="E7" s="51">
        <f>IFERROR(INDEX(Python!$1:$1048576,MATCH(DCF_Simple!E$1,Python!$A:$A,0),MATCH(DCF_Simple!$B7,Python!$1:$1,0))/1000000,0)</f>
        <v>3066</v>
      </c>
      <c r="F7" s="51">
        <f>IFERROR(INDEX(Python!$1:$1048576,MATCH(DCF_Simple!F$1,Python!$A:$A,0),MATCH(DCF_Simple!$B7,Python!$1:$1,0))/1000000,0)</f>
        <v>3298</v>
      </c>
      <c r="G7" s="51">
        <f>IFERROR(INDEX(Python!$1:$1048576,MATCH(DCF_Simple!G$1,Python!$A:$A,0),MATCH(DCF_Simple!$B7,Python!$1:$1,0))/1000000,0)</f>
        <v>6418</v>
      </c>
      <c r="H7" s="51">
        <f>IFERROR(INDEX(Python!$1:$1048576,MATCH(DCF_Simple!H$1,Python!$A:$A,0),MATCH(DCF_Simple!$B7,Python!$1:$1,0))/1000000,0)</f>
        <v>5819</v>
      </c>
      <c r="I7" s="51">
        <f>IFERROR(INDEX(Python!$1:$1048576,MATCH(DCF_Simple!I$1,Python!$A:$A,0),MATCH(DCF_Simple!$B7,Python!$1:$1,0))/1000000,0)</f>
        <v>2851</v>
      </c>
      <c r="J7" s="51">
        <f>IFERROR(INDEX(Python!$1:$1048576,MATCH(DCF_Simple!J$1,Python!$A:$A,0),MATCH(DCF_Simple!$B7,Python!$1:$1,0))/1000000,0)</f>
        <v>6745</v>
      </c>
      <c r="K7" s="56">
        <f>IFERROR(INDEX(Python!$1:$1048576,MATCH(DCF_Simple!K$1,Python!$A:$A,0),MATCH(DCF_Simple!$B7,Python!$1:$1,0))/1000000,0)</f>
        <v>6629</v>
      </c>
      <c r="L7" s="63">
        <f t="shared" ref="L7:U7" si="5">L8*L4</f>
        <v>6833.0137100086076</v>
      </c>
      <c r="M7" s="63">
        <f t="shared" si="5"/>
        <v>7368.0550333663987</v>
      </c>
      <c r="N7" s="63">
        <f t="shared" si="5"/>
        <v>7944.9913725765864</v>
      </c>
      <c r="O7" s="63">
        <f t="shared" si="5"/>
        <v>8567.1032076257598</v>
      </c>
      <c r="P7" s="63">
        <f t="shared" si="5"/>
        <v>9237.9278879329049</v>
      </c>
      <c r="Q7" s="63">
        <f t="shared" si="5"/>
        <v>9961.2797458405967</v>
      </c>
      <c r="R7" s="63">
        <f t="shared" si="5"/>
        <v>10741.271785040677</v>
      </c>
      <c r="S7" s="63">
        <f t="shared" si="5"/>
        <v>11582.339067255543</v>
      </c>
      <c r="T7" s="63">
        <f t="shared" si="5"/>
        <v>12489.263930152569</v>
      </c>
      <c r="U7" s="63">
        <f t="shared" si="5"/>
        <v>13467.203179881537</v>
      </c>
      <c r="V7" s="64">
        <f>U7</f>
        <v>13467.203179881537</v>
      </c>
    </row>
    <row r="8" spans="2:22" s="1" customFormat="1" x14ac:dyDescent="0.25">
      <c r="B8" s="10" t="s">
        <v>20</v>
      </c>
      <c r="C8" s="42"/>
      <c r="D8" s="42">
        <f t="shared" ref="D8:K8" si="6">IFERROR(D7/D$4,"")</f>
        <v>2.4741025351263796E-2</v>
      </c>
      <c r="E8" s="42">
        <f t="shared" si="6"/>
        <v>2.1168770195255322E-2</v>
      </c>
      <c r="F8" s="42">
        <f t="shared" si="6"/>
        <v>2.1322264892612849E-2</v>
      </c>
      <c r="G8" s="42">
        <f t="shared" si="6"/>
        <v>3.7113497446929086E-2</v>
      </c>
      <c r="H8" s="42">
        <f t="shared" si="6"/>
        <v>2.865316814717063E-2</v>
      </c>
      <c r="I8" s="42">
        <f t="shared" si="6"/>
        <v>1.2340495524352027E-2</v>
      </c>
      <c r="J8" s="42">
        <f t="shared" si="6"/>
        <v>2.7838540591852739E-2</v>
      </c>
      <c r="K8" s="57">
        <f t="shared" si="6"/>
        <v>2.6051962444930892E-2</v>
      </c>
      <c r="L8" s="38">
        <f>AVERAGE(D8:K8)</f>
        <v>2.4903715574295916E-2</v>
      </c>
      <c r="M8" s="38">
        <f t="shared" ref="M8:U8" si="7">L8</f>
        <v>2.4903715574295916E-2</v>
      </c>
      <c r="N8" s="38">
        <f t="shared" si="7"/>
        <v>2.4903715574295916E-2</v>
      </c>
      <c r="O8" s="38">
        <f t="shared" si="7"/>
        <v>2.4903715574295916E-2</v>
      </c>
      <c r="P8" s="38">
        <f t="shared" si="7"/>
        <v>2.4903715574295916E-2</v>
      </c>
      <c r="Q8" s="38">
        <f t="shared" si="7"/>
        <v>2.4903715574295916E-2</v>
      </c>
      <c r="R8" s="38">
        <f t="shared" si="7"/>
        <v>2.4903715574295916E-2</v>
      </c>
      <c r="S8" s="38">
        <f t="shared" si="7"/>
        <v>2.4903715574295916E-2</v>
      </c>
      <c r="T8" s="38">
        <f t="shared" si="7"/>
        <v>2.4903715574295916E-2</v>
      </c>
      <c r="U8" s="38">
        <f t="shared" si="7"/>
        <v>2.4903715574295916E-2</v>
      </c>
      <c r="V8" s="20"/>
    </row>
    <row r="9" spans="2:22" s="1" customFormat="1" ht="7.5" customHeight="1" x14ac:dyDescent="0.25">
      <c r="B9" s="10"/>
      <c r="C9" s="42"/>
      <c r="D9" s="42"/>
      <c r="E9" s="42"/>
      <c r="F9" s="42"/>
      <c r="G9" s="42"/>
      <c r="H9" s="42"/>
      <c r="I9" s="42"/>
      <c r="J9" s="42"/>
      <c r="K9" s="57"/>
      <c r="L9" s="30"/>
      <c r="M9" s="30"/>
      <c r="N9" s="30"/>
      <c r="O9" s="30"/>
      <c r="P9" s="30"/>
      <c r="Q9" s="30"/>
      <c r="R9" s="30"/>
      <c r="S9" s="30"/>
      <c r="T9" s="30"/>
      <c r="U9" s="30"/>
      <c r="V9" s="25"/>
    </row>
    <row r="10" spans="2:22" s="1" customFormat="1" x14ac:dyDescent="0.25">
      <c r="B10" s="46" t="s">
        <v>21</v>
      </c>
      <c r="C10" s="35"/>
      <c r="D10" s="17">
        <f>IFERROR(INDEX(Python!$1:$1048576,MATCH(DCF_Simple!D$1,Python!$A:$A,0),MATCH(DCF_Simple!$B10,Python!$1:$1,0))/1000000,0)</f>
        <v>440.851</v>
      </c>
      <c r="E10" s="17">
        <f>IFERROR(INDEX(Python!$1:$1048576,MATCH(DCF_Simple!E$1,Python!$A:$A,0),MATCH(DCF_Simple!$B10,Python!$1:$1,0))/1000000,0)</f>
        <v>442.74900000000002</v>
      </c>
      <c r="F10" s="17">
        <f>IFERROR(INDEX(Python!$1:$1048576,MATCH(DCF_Simple!F$1,Python!$A:$A,0),MATCH(DCF_Simple!$B10,Python!$1:$1,0))/1000000,0)</f>
        <v>443.68</v>
      </c>
      <c r="G10" s="17">
        <f>IFERROR(INDEX(Python!$1:$1048576,MATCH(DCF_Simple!G$1,Python!$A:$A,0),MATCH(DCF_Simple!$B10,Python!$1:$1,0))/1000000,0)</f>
        <v>444.38600000000002</v>
      </c>
      <c r="H10" s="17">
        <f>IFERROR(INDEX(Python!$1:$1048576,MATCH(DCF_Simple!H$1,Python!$A:$A,0),MATCH(DCF_Simple!$B10,Python!$1:$1,0))/1000000,0)</f>
        <v>444.60399999999998</v>
      </c>
      <c r="I10" s="17">
        <f>IFERROR(INDEX(Python!$1:$1048576,MATCH(DCF_Simple!I$1,Python!$A:$A,0),MATCH(DCF_Simple!$B10,Python!$1:$1,0))/1000000,0)</f>
        <v>444.53100000000001</v>
      </c>
      <c r="J10" s="17">
        <f>IFERROR(INDEX(Python!$1:$1048576,MATCH(DCF_Simple!J$1,Python!$A:$A,0),MATCH(DCF_Simple!$B10,Python!$1:$1,0))/1000000,0)</f>
        <v>444.44499999999999</v>
      </c>
      <c r="K10" s="68">
        <f>IFERROR(INDEX(Python!$1:$1048576,MATCH(DCF_Simple!K$1,Python!$A:$A,0),MATCH(DCF_Simple!$B10,Python!$1:$1,0))/1000000,0)</f>
        <v>444.97699999999998</v>
      </c>
      <c r="L10" s="17">
        <f t="shared" ref="L10:U10" si="8">K10*(1+L11)</f>
        <v>445.50963680320399</v>
      </c>
      <c r="M10" s="17">
        <f t="shared" si="8"/>
        <v>446.04291117186449</v>
      </c>
      <c r="N10" s="17">
        <f t="shared" si="8"/>
        <v>446.57682386914632</v>
      </c>
      <c r="O10" s="17">
        <f t="shared" si="8"/>
        <v>447.11137565912793</v>
      </c>
      <c r="P10" s="17">
        <f t="shared" si="8"/>
        <v>447.64656730680235</v>
      </c>
      <c r="Q10" s="17">
        <f t="shared" si="8"/>
        <v>448.18239957807828</v>
      </c>
      <c r="R10" s="17">
        <f t="shared" si="8"/>
        <v>448.71887323978115</v>
      </c>
      <c r="S10" s="17">
        <f t="shared" si="8"/>
        <v>449.25598905965438</v>
      </c>
      <c r="T10" s="17">
        <f t="shared" si="8"/>
        <v>449.79374780636039</v>
      </c>
      <c r="U10" s="17">
        <f t="shared" si="8"/>
        <v>450.33215024948157</v>
      </c>
      <c r="V10" s="69">
        <f>U10</f>
        <v>450.33215024948157</v>
      </c>
    </row>
    <row r="11" spans="2:22" s="1" customFormat="1" x14ac:dyDescent="0.25">
      <c r="B11" s="10" t="s">
        <v>22</v>
      </c>
      <c r="C11" s="42"/>
      <c r="D11" s="42"/>
      <c r="E11" s="42">
        <f t="shared" ref="E11:K11" si="9">IFERROR(E10/D10-1,"")</f>
        <v>4.3053095036644784E-3</v>
      </c>
      <c r="F11" s="42">
        <f t="shared" si="9"/>
        <v>2.1027715477617281E-3</v>
      </c>
      <c r="G11" s="42">
        <f t="shared" si="9"/>
        <v>1.5912369275152827E-3</v>
      </c>
      <c r="H11" s="42">
        <f t="shared" si="9"/>
        <v>4.9056450923279371E-4</v>
      </c>
      <c r="I11" s="42">
        <f t="shared" si="9"/>
        <v>-1.6419105541110035E-4</v>
      </c>
      <c r="J11" s="42">
        <f t="shared" si="9"/>
        <v>-1.9346232321260093E-4</v>
      </c>
      <c r="K11" s="57">
        <f t="shared" si="9"/>
        <v>1.1969985037518782E-3</v>
      </c>
      <c r="L11" s="66">
        <f t="shared" ref="L11:U11" si="10">K11</f>
        <v>1.1969985037518782E-3</v>
      </c>
      <c r="M11" s="66">
        <f t="shared" si="10"/>
        <v>1.1969985037518782E-3</v>
      </c>
      <c r="N11" s="66">
        <f t="shared" si="10"/>
        <v>1.1969985037518782E-3</v>
      </c>
      <c r="O11" s="66">
        <f t="shared" si="10"/>
        <v>1.1969985037518782E-3</v>
      </c>
      <c r="P11" s="66">
        <f t="shared" si="10"/>
        <v>1.1969985037518782E-3</v>
      </c>
      <c r="Q11" s="66">
        <f t="shared" si="10"/>
        <v>1.1969985037518782E-3</v>
      </c>
      <c r="R11" s="66">
        <f t="shared" si="10"/>
        <v>1.1969985037518782E-3</v>
      </c>
      <c r="S11" s="66">
        <f t="shared" si="10"/>
        <v>1.1969985037518782E-3</v>
      </c>
      <c r="T11" s="66">
        <f t="shared" si="10"/>
        <v>1.1969985037518782E-3</v>
      </c>
      <c r="U11" s="66">
        <f t="shared" si="10"/>
        <v>1.1969985037518782E-3</v>
      </c>
      <c r="V11" s="67"/>
    </row>
    <row r="12" spans="2:22" s="1" customFormat="1" ht="7.5" customHeight="1" x14ac:dyDescent="0.25">
      <c r="B12" s="10"/>
      <c r="C12" s="42"/>
      <c r="D12" s="42"/>
      <c r="E12" s="42"/>
      <c r="F12" s="42"/>
      <c r="G12" s="42"/>
      <c r="H12" s="42"/>
      <c r="I12" s="42"/>
      <c r="J12" s="42"/>
      <c r="K12" s="57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25"/>
    </row>
    <row r="13" spans="2:22" x14ac:dyDescent="0.25">
      <c r="B13" s="48" t="s">
        <v>23</v>
      </c>
      <c r="C13" s="52"/>
      <c r="D13" s="52">
        <f t="shared" ref="D13:K13" si="11">IFERROR(D7/D10,0)</f>
        <v>7.4492288777841038</v>
      </c>
      <c r="E13" s="52">
        <f t="shared" si="11"/>
        <v>6.9249168264637522</v>
      </c>
      <c r="F13" s="52">
        <f t="shared" si="11"/>
        <v>7.4332852506310854</v>
      </c>
      <c r="G13" s="52">
        <f t="shared" si="11"/>
        <v>14.442399175491577</v>
      </c>
      <c r="H13" s="52">
        <f t="shared" si="11"/>
        <v>13.088051389551152</v>
      </c>
      <c r="I13" s="52">
        <f t="shared" si="11"/>
        <v>6.4135009706859591</v>
      </c>
      <c r="J13" s="52">
        <f t="shared" si="11"/>
        <v>15.176231029711213</v>
      </c>
      <c r="K13" s="58">
        <f t="shared" si="11"/>
        <v>14.897399191418883</v>
      </c>
      <c r="L13" s="52">
        <f t="shared" ref="L13:U13" si="12">L7/L10</f>
        <v>15.337521673020444</v>
      </c>
      <c r="M13" s="52">
        <f t="shared" si="12"/>
        <v>16.518713443979426</v>
      </c>
      <c r="N13" s="52">
        <f t="shared" si="12"/>
        <v>17.790872584343042</v>
      </c>
      <c r="O13" s="52">
        <f t="shared" si="12"/>
        <v>19.1610047831957</v>
      </c>
      <c r="P13" s="52">
        <f t="shared" si="12"/>
        <v>20.636655260223474</v>
      </c>
      <c r="Q13" s="52">
        <f t="shared" si="12"/>
        <v>22.225950316697418</v>
      </c>
      <c r="R13" s="52">
        <f t="shared" si="12"/>
        <v>23.937642086431435</v>
      </c>
      <c r="S13" s="52">
        <f t="shared" si="12"/>
        <v>25.781156733155058</v>
      </c>
      <c r="T13" s="52">
        <f t="shared" si="12"/>
        <v>27.766646359720614</v>
      </c>
      <c r="U13" s="52">
        <f t="shared" si="12"/>
        <v>29.905044915005025</v>
      </c>
      <c r="V13" s="70">
        <f>U13*(1+WACC!$B$13)/(WACC!$B$14-WACC!$B$13)</f>
        <v>511.55605722783065</v>
      </c>
    </row>
    <row r="14" spans="2:22" ht="15.75" customHeight="1" thickBot="1" x14ac:dyDescent="0.3">
      <c r="B14" s="49" t="s">
        <v>24</v>
      </c>
      <c r="C14" s="50"/>
      <c r="D14" s="50"/>
      <c r="E14" s="50"/>
      <c r="F14" s="50"/>
      <c r="G14" s="50"/>
      <c r="H14" s="50"/>
      <c r="I14" s="50"/>
      <c r="J14" s="50"/>
      <c r="K14" s="59"/>
      <c r="L14" s="61">
        <f>L13/((1+WACC!$B$14)^(L3-$K$3))</f>
        <v>14.206300148866516</v>
      </c>
      <c r="M14" s="61">
        <f>M13/((1+WACC!$B$14)^(M3-$K$3))</f>
        <v>14.171891308001042</v>
      </c>
      <c r="N14" s="61">
        <f>N13/((1+WACC!$B$14)^(N3-$K$3))</f>
        <v>14.137565808210818</v>
      </c>
      <c r="O14" s="61">
        <f>O13/((1+WACC!$B$14)^(O3-$K$3))</f>
        <v>14.103323447636821</v>
      </c>
      <c r="P14" s="61">
        <f>P13/((1+WACC!$B$14)^(P3-$K$3))</f>
        <v>14.069164024908957</v>
      </c>
      <c r="Q14" s="61">
        <f>Q13/((1+WACC!$B$14)^(Q3-$K$3))</f>
        <v>14.035087339144861</v>
      </c>
      <c r="R14" s="61">
        <f>R13/((1+WACC!$B$14)^(R3-$K$3))</f>
        <v>14.001093189948726</v>
      </c>
      <c r="S14" s="61">
        <f>S13/((1+WACC!$B$14)^(S3-$K$3))</f>
        <v>13.96718137741011</v>
      </c>
      <c r="T14" s="61">
        <f>T13/((1+WACC!$B$14)^(T3-$K$3))</f>
        <v>13.933351702102788</v>
      </c>
      <c r="U14" s="61">
        <f>U13/((1+WACC!$B$14)^(U3-$K$3))</f>
        <v>13.899603965083552</v>
      </c>
      <c r="V14" s="62">
        <f>V13/((1+WACC!$B$14)^(U3-$K$3))</f>
        <v>237.76679224577143</v>
      </c>
    </row>
    <row r="15" spans="2:22" ht="15.75" customHeight="1" thickTop="1" x14ac:dyDescent="0.25">
      <c r="B15" s="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</row>
    <row r="16" spans="2:22" x14ac:dyDescent="0.25">
      <c r="B16" s="3"/>
      <c r="C16" s="13"/>
      <c r="D16" s="13"/>
      <c r="E16" s="13"/>
      <c r="F16" s="13"/>
      <c r="G16" s="13"/>
      <c r="H16" s="13"/>
      <c r="I16" s="13"/>
      <c r="J16" s="13"/>
      <c r="L16" s="3"/>
      <c r="M16" s="13"/>
      <c r="N16" s="13"/>
      <c r="O16" s="13"/>
      <c r="P16" s="13"/>
      <c r="Q16" s="13"/>
      <c r="R16" s="13"/>
      <c r="S16" s="13"/>
      <c r="T16" s="13"/>
      <c r="U16" s="13"/>
      <c r="V16" s="13"/>
    </row>
    <row r="17" spans="2:22" x14ac:dyDescent="0.25">
      <c r="B17" s="9" t="s">
        <v>25</v>
      </c>
      <c r="C17" s="31">
        <f>V14</f>
        <v>237.76679224577143</v>
      </c>
      <c r="L17" s="16">
        <f>C17/$C$19</f>
        <v>0.62852822138680808</v>
      </c>
      <c r="O17" s="18"/>
    </row>
    <row r="18" spans="2:22" x14ac:dyDescent="0.25">
      <c r="B18" s="8" t="s">
        <v>26</v>
      </c>
      <c r="C18" s="32">
        <f>SUM(14:14)-V14</f>
        <v>140.52456231131421</v>
      </c>
      <c r="K18" s="3"/>
      <c r="L18" s="16">
        <f>C18/$C$19</f>
        <v>0.37147177861319192</v>
      </c>
      <c r="O18" s="24"/>
      <c r="P18" s="24"/>
      <c r="Q18" s="24"/>
      <c r="R18" s="24"/>
      <c r="S18" s="24"/>
      <c r="T18" s="24"/>
      <c r="U18" s="24"/>
      <c r="V18" s="24"/>
    </row>
    <row r="19" spans="2:22" x14ac:dyDescent="0.25">
      <c r="B19" s="5" t="s">
        <v>27</v>
      </c>
      <c r="C19" s="33">
        <f>C17+C18</f>
        <v>378.29135455708564</v>
      </c>
      <c r="G19" s="15"/>
      <c r="H19" s="15"/>
      <c r="J19" s="3"/>
      <c r="K19" s="3"/>
      <c r="L19" s="23"/>
      <c r="M19" s="15"/>
      <c r="N19" s="15"/>
      <c r="O19" s="3"/>
      <c r="P19" s="3"/>
      <c r="Q19" s="3"/>
      <c r="R19" s="3"/>
      <c r="S19" s="3"/>
    </row>
    <row r="20" spans="2:22" x14ac:dyDescent="0.25">
      <c r="B20" s="6" t="s">
        <v>28</v>
      </c>
      <c r="C20" s="71">
        <f>Python!E3/1000000/K10</f>
        <v>25.04399103773903</v>
      </c>
      <c r="G20" s="14"/>
      <c r="H20" s="14"/>
      <c r="N20" s="14"/>
    </row>
    <row r="21" spans="2:22" x14ac:dyDescent="0.25">
      <c r="B21" s="7" t="s">
        <v>29</v>
      </c>
      <c r="C21" s="32">
        <f>WACC!B3/1000000/K10</f>
        <v>13.020897709319808</v>
      </c>
      <c r="F21" s="14"/>
      <c r="G21" s="14"/>
      <c r="H21" s="14"/>
    </row>
    <row r="22" spans="2:22" ht="15.75" customHeight="1" thickBot="1" x14ac:dyDescent="0.3">
      <c r="B22" s="34" t="s">
        <v>30</v>
      </c>
      <c r="C22" s="60">
        <f>C19+C20-C21</f>
        <v>390.31444788550488</v>
      </c>
      <c r="F22" s="15"/>
      <c r="G22" s="15"/>
      <c r="H22" s="15"/>
      <c r="J22" s="3"/>
      <c r="K22" s="3"/>
      <c r="L22" s="3"/>
      <c r="M22" s="3"/>
      <c r="N22" s="3"/>
      <c r="O22" s="3"/>
    </row>
    <row r="23" spans="2:22" ht="15.75" customHeight="1" thickTop="1" x14ac:dyDescent="0.25"/>
  </sheetData>
  <pageMargins left="0.7" right="0.7" top="0.75" bottom="0.75" header="0.3" footer="0.3"/>
  <pageSetup scale="54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74"/>
  <sheetViews>
    <sheetView workbookViewId="0"/>
  </sheetViews>
  <sheetFormatPr defaultRowHeight="15" x14ac:dyDescent="0.25"/>
  <sheetData>
    <row r="1" spans="1:6" x14ac:dyDescent="0.25">
      <c r="A1" s="72" t="s">
        <v>31</v>
      </c>
      <c r="B1" s="72" t="s">
        <v>17</v>
      </c>
      <c r="C1" s="72" t="s">
        <v>19</v>
      </c>
      <c r="D1" s="72" t="s">
        <v>21</v>
      </c>
      <c r="E1" s="72" t="s">
        <v>28</v>
      </c>
      <c r="F1" s="72" t="s">
        <v>32</v>
      </c>
    </row>
    <row r="2" spans="1:6" x14ac:dyDescent="0.25">
      <c r="A2" s="72" t="s">
        <v>33</v>
      </c>
      <c r="F2">
        <v>7.8302392774961538E-2</v>
      </c>
    </row>
    <row r="3" spans="1:6" x14ac:dyDescent="0.25">
      <c r="A3" s="72" t="s">
        <v>34</v>
      </c>
      <c r="B3">
        <v>254453000000</v>
      </c>
      <c r="C3">
        <v>6629000000</v>
      </c>
      <c r="D3">
        <v>444977000</v>
      </c>
      <c r="E3">
        <v>11144000000</v>
      </c>
      <c r="F3">
        <v>1.2319450740445159E-2</v>
      </c>
    </row>
    <row r="4" spans="1:6" x14ac:dyDescent="0.25">
      <c r="A4" s="72" t="s">
        <v>35</v>
      </c>
      <c r="B4">
        <v>253695000000</v>
      </c>
      <c r="C4">
        <v>7417000000</v>
      </c>
      <c r="D4">
        <v>444828000</v>
      </c>
      <c r="E4">
        <v>11499000000</v>
      </c>
      <c r="F4">
        <v>8.1544730670295218E-2</v>
      </c>
    </row>
    <row r="5" spans="1:6" x14ac:dyDescent="0.25">
      <c r="A5" s="72" t="s">
        <v>36</v>
      </c>
      <c r="B5">
        <v>248828000000</v>
      </c>
      <c r="C5">
        <v>6201000000</v>
      </c>
      <c r="D5">
        <v>444754000</v>
      </c>
      <c r="E5">
        <v>10321000000</v>
      </c>
      <c r="F5">
        <v>6.9563611352368548E-2</v>
      </c>
    </row>
    <row r="6" spans="1:6" x14ac:dyDescent="0.25">
      <c r="A6" s="72" t="s">
        <v>37</v>
      </c>
      <c r="B6">
        <v>245652000000</v>
      </c>
      <c r="C6">
        <v>8803000000</v>
      </c>
      <c r="D6">
        <v>444403000</v>
      </c>
      <c r="E6">
        <v>17864000000</v>
      </c>
    </row>
    <row r="7" spans="1:6" x14ac:dyDescent="0.25">
      <c r="A7" s="72" t="s">
        <v>38</v>
      </c>
      <c r="B7">
        <v>242290000000</v>
      </c>
      <c r="C7">
        <v>6745000000</v>
      </c>
      <c r="D7">
        <v>444445000</v>
      </c>
      <c r="E7">
        <v>15234000000</v>
      </c>
    </row>
    <row r="8" spans="1:6" x14ac:dyDescent="0.25">
      <c r="A8" s="72" t="s">
        <v>39</v>
      </c>
      <c r="F8">
        <v>5.9968403842974423E-2</v>
      </c>
    </row>
    <row r="9" spans="1:6" x14ac:dyDescent="0.25">
      <c r="A9" s="72" t="s">
        <v>40</v>
      </c>
      <c r="B9">
        <v>235442000000</v>
      </c>
      <c r="C9">
        <v>5823000000</v>
      </c>
      <c r="D9">
        <v>444360000</v>
      </c>
      <c r="E9">
        <v>13708000000</v>
      </c>
      <c r="F9">
        <v>0.48334283975967751</v>
      </c>
    </row>
    <row r="10" spans="1:6" x14ac:dyDescent="0.25">
      <c r="A10" s="72" t="s">
        <v>41</v>
      </c>
      <c r="B10">
        <v>234390000000</v>
      </c>
      <c r="C10">
        <v>5475000000</v>
      </c>
      <c r="D10">
        <v>444475000</v>
      </c>
      <c r="E10">
        <v>13705000000</v>
      </c>
      <c r="F10">
        <v>6.804677866831077E-2</v>
      </c>
    </row>
    <row r="11" spans="1:6" x14ac:dyDescent="0.25">
      <c r="A11" s="72" t="s">
        <v>42</v>
      </c>
      <c r="B11">
        <v>231028000000</v>
      </c>
      <c r="C11">
        <v>2851000000</v>
      </c>
      <c r="D11">
        <v>444531000</v>
      </c>
      <c r="E11">
        <v>11673000000</v>
      </c>
    </row>
    <row r="12" spans="1:6" x14ac:dyDescent="0.25">
      <c r="A12" s="72" t="s">
        <v>43</v>
      </c>
      <c r="B12">
        <v>226954000000</v>
      </c>
      <c r="C12">
        <v>3501000000</v>
      </c>
      <c r="D12">
        <v>444655000</v>
      </c>
      <c r="E12">
        <v>11049000000</v>
      </c>
    </row>
    <row r="13" spans="1:6" x14ac:dyDescent="0.25">
      <c r="A13" s="72" t="s">
        <v>44</v>
      </c>
      <c r="B13">
        <v>217538000000</v>
      </c>
      <c r="C13">
        <v>4100000000</v>
      </c>
      <c r="D13">
        <v>444886000</v>
      </c>
      <c r="E13">
        <v>11831000000</v>
      </c>
    </row>
    <row r="14" spans="1:6" x14ac:dyDescent="0.25">
      <c r="A14" s="72" t="s">
        <v>45</v>
      </c>
      <c r="B14">
        <v>210219000000</v>
      </c>
      <c r="C14">
        <v>6032000000</v>
      </c>
      <c r="D14">
        <v>444916000</v>
      </c>
      <c r="E14">
        <v>12296000000</v>
      </c>
      <c r="F14">
        <v>0.1069490048917778</v>
      </c>
    </row>
    <row r="15" spans="1:6" x14ac:dyDescent="0.25">
      <c r="A15" s="72" t="s">
        <v>46</v>
      </c>
      <c r="B15">
        <v>203084000000</v>
      </c>
      <c r="C15">
        <v>5819000000</v>
      </c>
      <c r="D15">
        <v>444604000</v>
      </c>
      <c r="E15">
        <v>13476000000</v>
      </c>
      <c r="F15">
        <v>0.17223199407517131</v>
      </c>
    </row>
    <row r="16" spans="1:6" x14ac:dyDescent="0.25">
      <c r="A16" s="72" t="s">
        <v>47</v>
      </c>
      <c r="B16">
        <v>195929000000</v>
      </c>
      <c r="C16">
        <v>5370000000</v>
      </c>
      <c r="D16">
        <v>444376000</v>
      </c>
      <c r="E16">
        <v>12175000000</v>
      </c>
    </row>
    <row r="17" spans="1:6" x14ac:dyDescent="0.25">
      <c r="A17" s="72" t="s">
        <v>48</v>
      </c>
      <c r="B17">
        <v>186637000000</v>
      </c>
      <c r="C17">
        <v>6914000000</v>
      </c>
      <c r="D17">
        <v>444127000</v>
      </c>
      <c r="E17">
        <v>11126000000</v>
      </c>
      <c r="F17">
        <v>2.089047040197523E-3</v>
      </c>
    </row>
    <row r="18" spans="1:6" x14ac:dyDescent="0.25">
      <c r="A18" s="72" t="s">
        <v>49</v>
      </c>
      <c r="B18">
        <v>178626000000</v>
      </c>
      <c r="C18">
        <v>5809000000</v>
      </c>
      <c r="D18">
        <v>444494000</v>
      </c>
      <c r="E18">
        <v>9254000000</v>
      </c>
      <c r="F18">
        <v>0.2907874943437756</v>
      </c>
    </row>
    <row r="19" spans="1:6" x14ac:dyDescent="0.25">
      <c r="A19" s="72" t="s">
        <v>50</v>
      </c>
      <c r="B19">
        <v>172929000000</v>
      </c>
      <c r="C19">
        <v>6418000000</v>
      </c>
      <c r="D19">
        <v>444386000</v>
      </c>
      <c r="E19">
        <v>14423000000</v>
      </c>
      <c r="F19">
        <v>2.3566467602591731E-2</v>
      </c>
    </row>
    <row r="20" spans="1:6" x14ac:dyDescent="0.25">
      <c r="A20" s="72" t="s">
        <v>51</v>
      </c>
      <c r="B20">
        <v>166761000000</v>
      </c>
      <c r="C20">
        <v>6051000000</v>
      </c>
      <c r="D20">
        <v>444342000</v>
      </c>
      <c r="E20">
        <v>13305000000</v>
      </c>
    </row>
    <row r="21" spans="1:6" x14ac:dyDescent="0.25">
      <c r="A21" s="72" t="s">
        <v>52</v>
      </c>
      <c r="B21">
        <v>160876000000</v>
      </c>
      <c r="C21">
        <v>3945000000</v>
      </c>
      <c r="D21">
        <v>443855000</v>
      </c>
      <c r="E21">
        <v>11774000000</v>
      </c>
      <c r="F21">
        <v>0.1067659072826712</v>
      </c>
    </row>
    <row r="22" spans="1:6" x14ac:dyDescent="0.25">
      <c r="A22" s="72" t="s">
        <v>53</v>
      </c>
      <c r="B22">
        <v>158350000000</v>
      </c>
      <c r="C22">
        <v>4178000000</v>
      </c>
      <c r="D22">
        <v>443727000</v>
      </c>
      <c r="E22">
        <v>8715000000</v>
      </c>
      <c r="F22">
        <v>8.2827760989942378E-2</v>
      </c>
    </row>
    <row r="23" spans="1:6" x14ac:dyDescent="0.25">
      <c r="A23" s="72" t="s">
        <v>54</v>
      </c>
      <c r="B23">
        <v>154674000000</v>
      </c>
      <c r="C23">
        <v>3298000000</v>
      </c>
      <c r="D23">
        <v>443680000</v>
      </c>
      <c r="E23">
        <v>10020000000</v>
      </c>
      <c r="F23">
        <v>5.0098262083321472E-2</v>
      </c>
    </row>
    <row r="24" spans="1:6" x14ac:dyDescent="0.25">
      <c r="A24" s="72" t="s">
        <v>55</v>
      </c>
      <c r="B24">
        <v>152703000000</v>
      </c>
      <c r="C24">
        <v>3358000000</v>
      </c>
      <c r="D24">
        <v>443997000</v>
      </c>
      <c r="E24">
        <v>9444000000</v>
      </c>
    </row>
    <row r="25" spans="1:6" x14ac:dyDescent="0.25">
      <c r="A25" s="72" t="s">
        <v>56</v>
      </c>
      <c r="B25">
        <v>149616000000</v>
      </c>
      <c r="C25">
        <v>2572000000</v>
      </c>
      <c r="D25">
        <v>442642000</v>
      </c>
      <c r="E25">
        <v>8167000000</v>
      </c>
      <c r="F25">
        <v>3.3754622323166839E-2</v>
      </c>
    </row>
    <row r="26" spans="1:6" x14ac:dyDescent="0.25">
      <c r="A26" s="72" t="s">
        <v>57</v>
      </c>
      <c r="B26">
        <v>147237000000</v>
      </c>
      <c r="C26">
        <v>2659000000</v>
      </c>
      <c r="D26">
        <v>442337000</v>
      </c>
      <c r="E26">
        <v>7122000000</v>
      </c>
      <c r="F26">
        <v>-9.8020429762085137E-2</v>
      </c>
    </row>
    <row r="27" spans="1:6" x14ac:dyDescent="0.25">
      <c r="A27" s="72" t="s">
        <v>58</v>
      </c>
      <c r="B27">
        <v>144836000000</v>
      </c>
      <c r="C27">
        <v>3066000000</v>
      </c>
      <c r="D27">
        <v>442749000</v>
      </c>
      <c r="E27">
        <v>7953000000</v>
      </c>
      <c r="F27">
        <v>0.1093344611587916</v>
      </c>
    </row>
    <row r="28" spans="1:6" x14ac:dyDescent="0.25">
      <c r="A28" s="72" t="s">
        <v>59</v>
      </c>
      <c r="B28">
        <v>141576000000</v>
      </c>
      <c r="C28">
        <v>2805000000</v>
      </c>
      <c r="D28">
        <v>443187000</v>
      </c>
      <c r="E28">
        <v>7259000000</v>
      </c>
    </row>
    <row r="29" spans="1:6" x14ac:dyDescent="0.25">
      <c r="A29" s="72" t="s">
        <v>60</v>
      </c>
      <c r="B29">
        <v>139465000000</v>
      </c>
      <c r="C29">
        <v>3362000000</v>
      </c>
      <c r="D29">
        <v>441715000</v>
      </c>
      <c r="E29">
        <v>7044000000</v>
      </c>
      <c r="F29">
        <v>0.11471383146223139</v>
      </c>
    </row>
    <row r="30" spans="1:6" x14ac:dyDescent="0.25">
      <c r="A30" s="72" t="s">
        <v>61</v>
      </c>
      <c r="B30">
        <v>135964000000</v>
      </c>
      <c r="C30">
        <v>2908000000</v>
      </c>
      <c r="D30">
        <v>441568000</v>
      </c>
      <c r="E30">
        <v>5830000000</v>
      </c>
      <c r="F30">
        <v>-1.243353329301888E-2</v>
      </c>
    </row>
    <row r="31" spans="1:6" x14ac:dyDescent="0.25">
      <c r="A31" s="72" t="s">
        <v>62</v>
      </c>
      <c r="B31">
        <v>132735000000</v>
      </c>
      <c r="C31">
        <v>3284000000</v>
      </c>
      <c r="D31">
        <v>440851000</v>
      </c>
      <c r="E31">
        <v>6885000000</v>
      </c>
    </row>
    <row r="32" spans="1:6" x14ac:dyDescent="0.25">
      <c r="A32" s="72" t="s">
        <v>63</v>
      </c>
      <c r="B32">
        <v>129025000000</v>
      </c>
      <c r="C32">
        <v>4224000000</v>
      </c>
      <c r="D32">
        <v>441513000</v>
      </c>
      <c r="E32">
        <v>5779000000</v>
      </c>
    </row>
    <row r="33" spans="1:6" x14ac:dyDescent="0.25">
      <c r="A33" s="72" t="s">
        <v>64</v>
      </c>
      <c r="F33">
        <v>0.46196689177550798</v>
      </c>
    </row>
    <row r="34" spans="1:6" x14ac:dyDescent="0.25">
      <c r="A34" s="72" t="s">
        <v>65</v>
      </c>
      <c r="B34">
        <v>123285000000</v>
      </c>
      <c r="C34">
        <v>2151000000</v>
      </c>
      <c r="D34">
        <v>441056000</v>
      </c>
      <c r="E34">
        <v>5725000000</v>
      </c>
      <c r="F34">
        <v>8.8054946019648916E-3</v>
      </c>
    </row>
    <row r="35" spans="1:6" x14ac:dyDescent="0.25">
      <c r="A35" s="72" t="s">
        <v>66</v>
      </c>
      <c r="B35">
        <v>121194000000</v>
      </c>
      <c r="C35">
        <v>2483000000</v>
      </c>
      <c r="D35">
        <v>440657000</v>
      </c>
      <c r="E35">
        <v>5965000000</v>
      </c>
      <c r="F35">
        <v>0.22824972917997879</v>
      </c>
    </row>
    <row r="36" spans="1:6" x14ac:dyDescent="0.25">
      <c r="A36" s="72" t="s">
        <v>67</v>
      </c>
      <c r="B36">
        <v>119598000000</v>
      </c>
      <c r="C36">
        <v>2673000000</v>
      </c>
      <c r="D36">
        <v>440525000</v>
      </c>
      <c r="E36">
        <v>6116000000</v>
      </c>
      <c r="F36">
        <v>4.993845650257156E-2</v>
      </c>
    </row>
    <row r="37" spans="1:6" x14ac:dyDescent="0.25">
      <c r="A37" s="72" t="s">
        <v>68</v>
      </c>
      <c r="B37">
        <v>118719000000</v>
      </c>
      <c r="C37">
        <v>643000000</v>
      </c>
      <c r="D37">
        <v>440868000</v>
      </c>
      <c r="E37">
        <v>4729000000</v>
      </c>
    </row>
    <row r="38" spans="1:6" x14ac:dyDescent="0.25">
      <c r="A38" s="72" t="s">
        <v>69</v>
      </c>
      <c r="B38">
        <v>117937000000</v>
      </c>
      <c r="C38">
        <v>1884000000</v>
      </c>
      <c r="D38">
        <v>441066000</v>
      </c>
      <c r="E38">
        <v>6021000000</v>
      </c>
      <c r="F38">
        <v>9.0510683498716826E-3</v>
      </c>
    </row>
    <row r="39" spans="1:6" x14ac:dyDescent="0.25">
      <c r="A39" s="72" t="s">
        <v>70</v>
      </c>
      <c r="B39">
        <v>117269000000</v>
      </c>
      <c r="C39">
        <v>2155000000</v>
      </c>
      <c r="D39">
        <v>441559000</v>
      </c>
      <c r="E39">
        <v>4855000000</v>
      </c>
      <c r="F39">
        <v>5.9179342791578549E-2</v>
      </c>
    </row>
    <row r="40" spans="1:6" x14ac:dyDescent="0.25">
      <c r="A40" s="72" t="s">
        <v>71</v>
      </c>
      <c r="B40">
        <v>116553000000</v>
      </c>
      <c r="C40">
        <v>2276000000</v>
      </c>
      <c r="D40">
        <v>441386000</v>
      </c>
      <c r="E40">
        <v>6283000000</v>
      </c>
      <c r="F40">
        <v>8.7538084009528783E-2</v>
      </c>
    </row>
    <row r="41" spans="1:6" x14ac:dyDescent="0.25">
      <c r="A41" s="72" t="s">
        <v>72</v>
      </c>
      <c r="B41">
        <v>116199000000</v>
      </c>
      <c r="C41">
        <v>2753000000</v>
      </c>
      <c r="D41">
        <v>442404000</v>
      </c>
      <c r="E41">
        <v>6419000000</v>
      </c>
    </row>
    <row r="42" spans="1:6" x14ac:dyDescent="0.25">
      <c r="A42" s="72" t="s">
        <v>73</v>
      </c>
      <c r="B42">
        <v>115944000000</v>
      </c>
      <c r="C42">
        <v>1153000000</v>
      </c>
      <c r="D42">
        <v>443132000</v>
      </c>
      <c r="E42">
        <v>6805000000</v>
      </c>
      <c r="F42">
        <v>3.253257695588152E-3</v>
      </c>
    </row>
    <row r="43" spans="1:6" x14ac:dyDescent="0.25">
      <c r="A43" s="72" t="s">
        <v>74</v>
      </c>
      <c r="B43">
        <v>115637000000</v>
      </c>
      <c r="C43">
        <v>1200000000</v>
      </c>
      <c r="D43">
        <v>442896000</v>
      </c>
      <c r="E43">
        <v>7453000000</v>
      </c>
      <c r="F43">
        <v>-1.4803618946248039E-2</v>
      </c>
    </row>
    <row r="44" spans="1:6" x14ac:dyDescent="0.25">
      <c r="A44" s="72" t="s">
        <v>75</v>
      </c>
      <c r="B44">
        <v>114489000000</v>
      </c>
      <c r="C44">
        <v>1178000000</v>
      </c>
      <c r="D44">
        <v>442210000</v>
      </c>
      <c r="E44">
        <v>7619000000</v>
      </c>
      <c r="F44">
        <v>4.514430187472529E-2</v>
      </c>
    </row>
    <row r="45" spans="1:6" x14ac:dyDescent="0.25">
      <c r="A45" s="72" t="s">
        <v>76</v>
      </c>
      <c r="B45">
        <v>112640000000</v>
      </c>
      <c r="C45">
        <v>970000000</v>
      </c>
      <c r="D45">
        <v>441887000</v>
      </c>
      <c r="E45">
        <v>7315000000</v>
      </c>
    </row>
    <row r="46" spans="1:6" x14ac:dyDescent="0.25">
      <c r="A46" s="72" t="s">
        <v>77</v>
      </c>
      <c r="B46">
        <v>109604000000</v>
      </c>
      <c r="C46">
        <v>2206000000</v>
      </c>
      <c r="D46">
        <v>442720000</v>
      </c>
      <c r="E46">
        <v>7275000000</v>
      </c>
    </row>
    <row r="47" spans="1:6" x14ac:dyDescent="0.25">
      <c r="A47" s="72" t="s">
        <v>78</v>
      </c>
      <c r="B47">
        <v>107893000000</v>
      </c>
      <c r="C47">
        <v>1985000000</v>
      </c>
      <c r="D47">
        <v>442829000</v>
      </c>
      <c r="E47">
        <v>6482000000</v>
      </c>
      <c r="F47">
        <v>0.1785774596518033</v>
      </c>
    </row>
    <row r="48" spans="1:6" x14ac:dyDescent="0.25">
      <c r="A48" s="72" t="s">
        <v>79</v>
      </c>
      <c r="B48">
        <v>106458000000</v>
      </c>
      <c r="C48">
        <v>1687000000</v>
      </c>
      <c r="D48">
        <v>442420000</v>
      </c>
      <c r="E48">
        <v>6439000000</v>
      </c>
      <c r="F48">
        <v>0.12083333333333331</v>
      </c>
    </row>
    <row r="49" spans="1:6" x14ac:dyDescent="0.25">
      <c r="A49" s="72" t="s">
        <v>80</v>
      </c>
      <c r="B49">
        <v>105156000000</v>
      </c>
      <c r="C49">
        <v>1936000000</v>
      </c>
      <c r="D49">
        <v>441907000</v>
      </c>
      <c r="E49">
        <v>6124000000</v>
      </c>
    </row>
    <row r="50" spans="1:6" x14ac:dyDescent="0.25">
      <c r="A50" s="72" t="s">
        <v>81</v>
      </c>
      <c r="B50">
        <v>104887000000</v>
      </c>
      <c r="C50">
        <v>2227000000</v>
      </c>
      <c r="D50">
        <v>440780000</v>
      </c>
      <c r="E50">
        <v>6510000000</v>
      </c>
      <c r="F50">
        <v>6.8421102490593189E-2</v>
      </c>
    </row>
    <row r="51" spans="1:6" x14ac:dyDescent="0.25">
      <c r="A51" s="72" t="s">
        <v>82</v>
      </c>
      <c r="B51">
        <v>103128000000</v>
      </c>
      <c r="C51">
        <v>1547000000</v>
      </c>
      <c r="D51">
        <v>439812000</v>
      </c>
      <c r="E51">
        <v>5651000000</v>
      </c>
      <c r="F51">
        <v>4.3523316062176187E-2</v>
      </c>
    </row>
    <row r="52" spans="1:6" x14ac:dyDescent="0.25">
      <c r="A52" s="72" t="s">
        <v>83</v>
      </c>
      <c r="B52">
        <v>101224000000</v>
      </c>
      <c r="C52">
        <v>1870000000</v>
      </c>
      <c r="D52">
        <v>438643000</v>
      </c>
      <c r="E52">
        <v>5576000000</v>
      </c>
      <c r="F52">
        <v>7.3411172646569156E-2</v>
      </c>
    </row>
    <row r="53" spans="1:6" x14ac:dyDescent="0.25">
      <c r="A53" s="72" t="s">
        <v>84</v>
      </c>
      <c r="B53">
        <v>99137000000</v>
      </c>
      <c r="C53">
        <v>1577000000</v>
      </c>
      <c r="D53">
        <v>438000000</v>
      </c>
      <c r="E53">
        <v>4854000000</v>
      </c>
    </row>
    <row r="54" spans="1:6" x14ac:dyDescent="0.25">
      <c r="A54" s="72" t="s">
        <v>85</v>
      </c>
      <c r="B54">
        <v>95097000000</v>
      </c>
      <c r="C54">
        <v>1896000000</v>
      </c>
      <c r="D54">
        <v>439166000</v>
      </c>
      <c r="E54">
        <v>5976000000</v>
      </c>
    </row>
    <row r="55" spans="1:6" x14ac:dyDescent="0.25">
      <c r="A55" s="72" t="s">
        <v>86</v>
      </c>
      <c r="B55">
        <v>93396000000</v>
      </c>
      <c r="C55">
        <v>1614000000</v>
      </c>
      <c r="D55">
        <v>439468000</v>
      </c>
      <c r="E55">
        <v>5785000000</v>
      </c>
      <c r="F55">
        <v>6.3541716550898242E-2</v>
      </c>
    </row>
    <row r="56" spans="1:6" x14ac:dyDescent="0.25">
      <c r="A56" s="72" t="s">
        <v>87</v>
      </c>
      <c r="B56">
        <v>91304000000</v>
      </c>
      <c r="C56">
        <v>1815000000</v>
      </c>
      <c r="D56">
        <v>440615000</v>
      </c>
      <c r="E56">
        <v>5915000000</v>
      </c>
      <c r="F56">
        <v>0.1241748531628464</v>
      </c>
    </row>
    <row r="57" spans="1:6" x14ac:dyDescent="0.25">
      <c r="A57" s="72" t="s">
        <v>88</v>
      </c>
      <c r="B57">
        <v>88915000000</v>
      </c>
      <c r="C57">
        <v>1908000000</v>
      </c>
      <c r="D57">
        <v>443518000</v>
      </c>
      <c r="E57">
        <v>5613000000</v>
      </c>
    </row>
    <row r="58" spans="1:6" x14ac:dyDescent="0.25">
      <c r="A58" s="72" t="s">
        <v>89</v>
      </c>
      <c r="B58">
        <v>84862000000</v>
      </c>
      <c r="C58">
        <v>1639000000</v>
      </c>
      <c r="D58">
        <v>443570000</v>
      </c>
      <c r="E58">
        <v>6215000000</v>
      </c>
    </row>
    <row r="59" spans="1:6" x14ac:dyDescent="0.25">
      <c r="A59" s="72" t="s">
        <v>90</v>
      </c>
      <c r="B59">
        <v>82019000000</v>
      </c>
      <c r="C59">
        <v>1777000000</v>
      </c>
      <c r="D59">
        <v>443186000</v>
      </c>
      <c r="E59">
        <v>5379000000</v>
      </c>
      <c r="F59">
        <v>0.11380855831821581</v>
      </c>
    </row>
    <row r="60" spans="1:6" x14ac:dyDescent="0.25">
      <c r="A60" s="72" t="s">
        <v>91</v>
      </c>
      <c r="B60">
        <v>79886000000</v>
      </c>
      <c r="C60">
        <v>1701000000</v>
      </c>
      <c r="D60">
        <v>441360000</v>
      </c>
      <c r="E60">
        <v>5284000000</v>
      </c>
      <c r="F60">
        <v>8.0817176599803364E-2</v>
      </c>
    </row>
    <row r="61" spans="1:6" x14ac:dyDescent="0.25">
      <c r="A61" s="72" t="s">
        <v>92</v>
      </c>
      <c r="B61">
        <v>77946000000</v>
      </c>
      <c r="C61">
        <v>1725000000</v>
      </c>
      <c r="D61">
        <v>444289000</v>
      </c>
      <c r="E61">
        <v>4749000000</v>
      </c>
    </row>
    <row r="62" spans="1:6" x14ac:dyDescent="0.25">
      <c r="A62" s="72" t="s">
        <v>93</v>
      </c>
      <c r="B62">
        <v>76199000000</v>
      </c>
      <c r="C62">
        <v>1756000000</v>
      </c>
      <c r="D62">
        <v>448391000</v>
      </c>
      <c r="E62">
        <v>5267000000</v>
      </c>
    </row>
    <row r="63" spans="1:6" x14ac:dyDescent="0.25">
      <c r="A63" s="72" t="s">
        <v>94</v>
      </c>
      <c r="B63">
        <v>74225000000</v>
      </c>
      <c r="C63">
        <v>1545000000</v>
      </c>
      <c r="D63">
        <v>446918000</v>
      </c>
      <c r="E63">
        <v>4719000000</v>
      </c>
      <c r="F63">
        <v>0.1445399105860001</v>
      </c>
    </row>
    <row r="64" spans="1:6" x14ac:dyDescent="0.25">
      <c r="A64" s="72" t="s">
        <v>95</v>
      </c>
      <c r="B64">
        <v>72326000000</v>
      </c>
      <c r="C64">
        <v>1694000000</v>
      </c>
      <c r="D64">
        <v>444849000</v>
      </c>
      <c r="E64">
        <v>4189000000</v>
      </c>
      <c r="F64">
        <v>5.5138761817627342E-2</v>
      </c>
    </row>
    <row r="65" spans="1:6" x14ac:dyDescent="0.25">
      <c r="A65" s="72" t="s">
        <v>96</v>
      </c>
      <c r="B65">
        <v>71422000000</v>
      </c>
      <c r="C65">
        <v>842000000</v>
      </c>
      <c r="D65">
        <v>442000000</v>
      </c>
      <c r="E65">
        <v>3727000000</v>
      </c>
    </row>
    <row r="66" spans="1:6" x14ac:dyDescent="0.25">
      <c r="A66" s="72" t="s">
        <v>97</v>
      </c>
      <c r="B66">
        <v>72143887000</v>
      </c>
      <c r="C66">
        <v>574521000</v>
      </c>
      <c r="D66">
        <v>439997000</v>
      </c>
      <c r="E66">
        <v>3668000000</v>
      </c>
    </row>
    <row r="67" spans="1:6" x14ac:dyDescent="0.25">
      <c r="A67" s="72" t="s">
        <v>98</v>
      </c>
      <c r="B67">
        <v>72951604000</v>
      </c>
      <c r="C67">
        <v>653974000</v>
      </c>
      <c r="D67">
        <v>439688000</v>
      </c>
      <c r="E67">
        <v>3282000000</v>
      </c>
      <c r="F67">
        <v>6.5334133378019077E-2</v>
      </c>
    </row>
    <row r="68" spans="1:6" x14ac:dyDescent="0.25">
      <c r="A68" s="72" t="s">
        <v>99</v>
      </c>
      <c r="B68">
        <v>73068490000</v>
      </c>
      <c r="C68">
        <v>329786000</v>
      </c>
      <c r="D68">
        <v>440533000</v>
      </c>
      <c r="E68">
        <v>2817000000</v>
      </c>
    </row>
    <row r="69" spans="1:6" x14ac:dyDescent="0.25">
      <c r="A69" s="72" t="s">
        <v>100</v>
      </c>
      <c r="B69">
        <v>72483020000</v>
      </c>
      <c r="C69">
        <v>577602000</v>
      </c>
      <c r="D69">
        <v>441000000</v>
      </c>
      <c r="E69">
        <v>3275013000</v>
      </c>
    </row>
    <row r="70" spans="1:6" x14ac:dyDescent="0.25">
      <c r="A70" s="72" t="s">
        <v>101</v>
      </c>
      <c r="F70">
        <v>-1.083032247005444E-2</v>
      </c>
    </row>
    <row r="71" spans="1:6" x14ac:dyDescent="0.25">
      <c r="A71" s="72" t="s">
        <v>102</v>
      </c>
      <c r="B71">
        <v>69860393000</v>
      </c>
      <c r="C71">
        <v>639609000</v>
      </c>
      <c r="D71">
        <v>443281000</v>
      </c>
      <c r="E71">
        <v>3654621000</v>
      </c>
    </row>
    <row r="72" spans="1:6" x14ac:dyDescent="0.25">
      <c r="A72" s="72" t="s">
        <v>103</v>
      </c>
      <c r="B72">
        <v>67905931000</v>
      </c>
      <c r="C72">
        <v>701159000</v>
      </c>
      <c r="D72">
        <v>444925000</v>
      </c>
      <c r="E72">
        <v>3100347000</v>
      </c>
      <c r="F72">
        <v>0.12228573606592261</v>
      </c>
    </row>
    <row r="73" spans="1:6" x14ac:dyDescent="0.25">
      <c r="A73" s="72" t="s">
        <v>104</v>
      </c>
      <c r="B73">
        <v>66058061000</v>
      </c>
      <c r="C73">
        <v>505831000</v>
      </c>
      <c r="D73">
        <v>445717000</v>
      </c>
      <c r="E73">
        <v>3210057000</v>
      </c>
      <c r="F73">
        <v>0.1171862678092634</v>
      </c>
    </row>
    <row r="74" spans="1:6" x14ac:dyDescent="0.25">
      <c r="A74" s="72" t="s">
        <v>105</v>
      </c>
      <c r="B74">
        <v>64400155000</v>
      </c>
      <c r="C74">
        <v>690705000</v>
      </c>
      <c r="D74">
        <v>449000000</v>
      </c>
      <c r="E74">
        <v>3355520000</v>
      </c>
    </row>
    <row r="75" spans="1:6" x14ac:dyDescent="0.25">
      <c r="A75" s="72" t="s">
        <v>106</v>
      </c>
      <c r="B75">
        <v>63819018000</v>
      </c>
      <c r="C75">
        <v>809510000</v>
      </c>
      <c r="D75">
        <v>455889000</v>
      </c>
      <c r="E75">
        <v>3821026000</v>
      </c>
      <c r="F75">
        <v>0.1044079506222135</v>
      </c>
    </row>
    <row r="76" spans="1:6" x14ac:dyDescent="0.25">
      <c r="A76" s="72" t="s">
        <v>107</v>
      </c>
      <c r="B76">
        <v>62432938000</v>
      </c>
      <c r="C76">
        <v>238743000</v>
      </c>
      <c r="D76">
        <v>461575000</v>
      </c>
      <c r="E76">
        <v>2233319000</v>
      </c>
      <c r="F76">
        <v>7.5236990429309314E-2</v>
      </c>
    </row>
    <row r="77" spans="1:6" x14ac:dyDescent="0.25">
      <c r="A77" s="72" t="s">
        <v>108</v>
      </c>
      <c r="B77">
        <v>61375498000</v>
      </c>
      <c r="C77">
        <v>768411000</v>
      </c>
      <c r="D77">
        <v>467836000</v>
      </c>
      <c r="E77">
        <v>2613934000</v>
      </c>
    </row>
    <row r="78" spans="1:6" x14ac:dyDescent="0.25">
      <c r="A78" s="72" t="s">
        <v>109</v>
      </c>
      <c r="B78">
        <v>60151227000</v>
      </c>
      <c r="C78">
        <v>614723000</v>
      </c>
      <c r="D78">
        <v>474000000</v>
      </c>
      <c r="E78">
        <v>2833120000</v>
      </c>
    </row>
    <row r="79" spans="1:6" x14ac:dyDescent="0.25">
      <c r="A79" s="72" t="s">
        <v>110</v>
      </c>
      <c r="F79">
        <v>0.49643937161768542</v>
      </c>
    </row>
    <row r="80" spans="1:6" x14ac:dyDescent="0.25">
      <c r="A80" s="72" t="s">
        <v>111</v>
      </c>
      <c r="B80">
        <v>56957352000</v>
      </c>
      <c r="C80">
        <v>628292000</v>
      </c>
      <c r="D80">
        <v>480533000</v>
      </c>
      <c r="E80">
        <v>3301752000</v>
      </c>
      <c r="F80">
        <v>0.12988372329518461</v>
      </c>
    </row>
    <row r="81" spans="1:6" x14ac:dyDescent="0.25">
      <c r="A81" s="72" t="s">
        <v>112</v>
      </c>
      <c r="B81">
        <v>55681077000</v>
      </c>
      <c r="C81">
        <v>873124000</v>
      </c>
      <c r="D81">
        <v>482127000</v>
      </c>
      <c r="E81">
        <v>3517391000</v>
      </c>
      <c r="F81">
        <v>7.4846034670195127E-2</v>
      </c>
    </row>
    <row r="82" spans="1:6" x14ac:dyDescent="0.25">
      <c r="A82" s="72" t="s">
        <v>113</v>
      </c>
      <c r="B82">
        <v>54284578000</v>
      </c>
      <c r="C82">
        <v>819342000</v>
      </c>
      <c r="D82">
        <v>486367000</v>
      </c>
      <c r="E82">
        <v>3289478000</v>
      </c>
      <c r="F82">
        <v>0.11703201320642261</v>
      </c>
    </row>
    <row r="83" spans="1:6" x14ac:dyDescent="0.25">
      <c r="A83" s="72" t="s">
        <v>114</v>
      </c>
      <c r="B83">
        <v>52935228000</v>
      </c>
      <c r="C83">
        <v>787746000</v>
      </c>
      <c r="D83">
        <v>491000000</v>
      </c>
      <c r="E83">
        <v>3459857000</v>
      </c>
      <c r="F83">
        <v>8.6769004460641952E-2</v>
      </c>
    </row>
    <row r="84" spans="1:6" x14ac:dyDescent="0.25">
      <c r="A84" s="72" t="s">
        <v>115</v>
      </c>
      <c r="B84">
        <v>51372281000</v>
      </c>
      <c r="C84">
        <v>849510000</v>
      </c>
      <c r="D84">
        <v>493282000</v>
      </c>
      <c r="E84">
        <v>4050899000</v>
      </c>
    </row>
    <row r="85" spans="1:6" x14ac:dyDescent="0.25">
      <c r="A85" s="72" t="s">
        <v>116</v>
      </c>
      <c r="B85">
        <v>50272620000</v>
      </c>
      <c r="C85">
        <v>806173000</v>
      </c>
      <c r="D85">
        <v>493700000</v>
      </c>
      <c r="E85">
        <v>3788388000</v>
      </c>
      <c r="F85">
        <v>0.116324913970713</v>
      </c>
    </row>
    <row r="86" spans="1:6" x14ac:dyDescent="0.25">
      <c r="A86" s="72" t="s">
        <v>117</v>
      </c>
      <c r="B86">
        <v>49163517000</v>
      </c>
      <c r="C86">
        <v>745366000</v>
      </c>
      <c r="D86">
        <v>489284000</v>
      </c>
      <c r="E86">
        <v>3226439000</v>
      </c>
      <c r="F86">
        <v>0.1004157400699788</v>
      </c>
    </row>
    <row r="87" spans="1:6" x14ac:dyDescent="0.25">
      <c r="A87" s="72" t="s">
        <v>118</v>
      </c>
      <c r="B87">
        <v>48106992000</v>
      </c>
      <c r="C87">
        <v>1393163000</v>
      </c>
      <c r="D87">
        <v>485000000</v>
      </c>
      <c r="E87">
        <v>3129882000</v>
      </c>
    </row>
    <row r="88" spans="1:6" x14ac:dyDescent="0.25">
      <c r="A88" s="72" t="s">
        <v>119</v>
      </c>
      <c r="F88">
        <v>-0.27981112876668329</v>
      </c>
    </row>
    <row r="89" spans="1:6" x14ac:dyDescent="0.25">
      <c r="A89" s="72" t="s">
        <v>120</v>
      </c>
      <c r="B89">
        <v>46657420000</v>
      </c>
      <c r="C89">
        <v>1402267000</v>
      </c>
      <c r="D89">
        <v>482485000</v>
      </c>
      <c r="E89">
        <v>2781698000</v>
      </c>
    </row>
    <row r="90" spans="1:6" x14ac:dyDescent="0.25">
      <c r="A90" s="72" t="s">
        <v>121</v>
      </c>
      <c r="B90">
        <v>45303252000</v>
      </c>
      <c r="C90">
        <v>1181019000</v>
      </c>
      <c r="D90">
        <v>481537000</v>
      </c>
      <c r="E90">
        <v>2287646000</v>
      </c>
      <c r="F90">
        <v>0.1180748580678963</v>
      </c>
    </row>
    <row r="91" spans="1:6" x14ac:dyDescent="0.25">
      <c r="A91" s="72" t="s">
        <v>122</v>
      </c>
      <c r="B91">
        <v>43868445000</v>
      </c>
      <c r="C91">
        <v>1160532000</v>
      </c>
      <c r="D91">
        <v>480348000</v>
      </c>
      <c r="E91">
        <v>1911706000</v>
      </c>
      <c r="F91">
        <v>0.35695422969945922</v>
      </c>
    </row>
    <row r="92" spans="1:6" x14ac:dyDescent="0.25">
      <c r="A92" s="72" t="s">
        <v>123</v>
      </c>
      <c r="B92">
        <v>42545552000</v>
      </c>
      <c r="C92">
        <v>696543000</v>
      </c>
      <c r="D92">
        <v>480000000</v>
      </c>
      <c r="E92">
        <v>1545439000</v>
      </c>
    </row>
    <row r="93" spans="1:6" x14ac:dyDescent="0.25">
      <c r="A93" s="72" t="s">
        <v>124</v>
      </c>
      <c r="B93">
        <v>41152170000</v>
      </c>
      <c r="C93">
        <v>358697000</v>
      </c>
      <c r="D93">
        <v>479183000</v>
      </c>
      <c r="E93">
        <v>1289472000</v>
      </c>
    </row>
    <row r="94" spans="1:6" x14ac:dyDescent="0.25">
      <c r="A94" s="72" t="s">
        <v>125</v>
      </c>
      <c r="B94">
        <v>40225846000</v>
      </c>
      <c r="C94">
        <v>389961000</v>
      </c>
      <c r="D94">
        <v>478564000</v>
      </c>
      <c r="E94">
        <v>1169002000</v>
      </c>
      <c r="F94">
        <v>0.18848014793369861</v>
      </c>
    </row>
    <row r="95" spans="1:6" x14ac:dyDescent="0.25">
      <c r="A95" s="72" t="s">
        <v>126</v>
      </c>
      <c r="B95">
        <v>39494531000</v>
      </c>
      <c r="C95">
        <v>81680000</v>
      </c>
      <c r="D95">
        <v>478857000</v>
      </c>
      <c r="E95">
        <v>712854000</v>
      </c>
      <c r="F95">
        <v>8.6510649611477142E-2</v>
      </c>
    </row>
    <row r="96" spans="1:6" x14ac:dyDescent="0.25">
      <c r="A96" s="72" t="s">
        <v>127</v>
      </c>
      <c r="B96">
        <v>38762499000</v>
      </c>
      <c r="C96">
        <v>-20362000</v>
      </c>
      <c r="D96">
        <v>479000000</v>
      </c>
      <c r="E96">
        <v>805518000</v>
      </c>
    </row>
    <row r="97" spans="1:6" x14ac:dyDescent="0.25">
      <c r="A97" s="72" t="s">
        <v>128</v>
      </c>
      <c r="B97">
        <v>37600707000</v>
      </c>
      <c r="C97">
        <v>-101538000</v>
      </c>
      <c r="D97">
        <v>480256000</v>
      </c>
      <c r="E97">
        <v>841114000</v>
      </c>
      <c r="F97">
        <v>7.6481802123231413E-2</v>
      </c>
    </row>
    <row r="98" spans="1:6" x14ac:dyDescent="0.25">
      <c r="A98" s="72" t="s">
        <v>129</v>
      </c>
      <c r="B98">
        <v>36702855000</v>
      </c>
      <c r="C98">
        <v>-80504000</v>
      </c>
      <c r="D98">
        <v>479931000</v>
      </c>
      <c r="E98">
        <v>774551000</v>
      </c>
      <c r="F98">
        <v>0.12962327792043379</v>
      </c>
    </row>
    <row r="99" spans="1:6" x14ac:dyDescent="0.25">
      <c r="A99" s="72" t="s">
        <v>130</v>
      </c>
      <c r="B99">
        <v>35626312000</v>
      </c>
      <c r="C99">
        <v>-237478000</v>
      </c>
      <c r="D99">
        <v>477395000</v>
      </c>
      <c r="E99">
        <v>824471000</v>
      </c>
      <c r="F99">
        <v>0.10864106295462859</v>
      </c>
    </row>
    <row r="100" spans="1:6" x14ac:dyDescent="0.25">
      <c r="A100" s="72" t="s">
        <v>131</v>
      </c>
      <c r="B100">
        <v>34797037000</v>
      </c>
      <c r="C100">
        <v>-414986000</v>
      </c>
      <c r="D100">
        <v>478000000</v>
      </c>
      <c r="E100">
        <v>607584000</v>
      </c>
    </row>
    <row r="101" spans="1:6" x14ac:dyDescent="0.25">
      <c r="A101" s="72" t="s">
        <v>132</v>
      </c>
      <c r="B101">
        <v>34251671000</v>
      </c>
      <c r="C101">
        <v>-225827000</v>
      </c>
      <c r="D101">
        <v>475840000</v>
      </c>
      <c r="E101">
        <v>563502000</v>
      </c>
    </row>
    <row r="102" spans="1:6" x14ac:dyDescent="0.25">
      <c r="A102" s="72" t="s">
        <v>133</v>
      </c>
      <c r="B102">
        <v>33427384000</v>
      </c>
      <c r="C102">
        <v>-338978000</v>
      </c>
      <c r="D102">
        <v>475488000</v>
      </c>
      <c r="E102">
        <v>537809000</v>
      </c>
    </row>
    <row r="103" spans="1:6" x14ac:dyDescent="0.25">
      <c r="A103" s="72" t="s">
        <v>134</v>
      </c>
      <c r="B103">
        <v>32858075000</v>
      </c>
      <c r="C103">
        <v>-421899000</v>
      </c>
      <c r="D103">
        <v>473920000</v>
      </c>
      <c r="E103">
        <v>606935000</v>
      </c>
    </row>
    <row r="104" spans="1:6" x14ac:dyDescent="0.25">
      <c r="A104" s="72" t="s">
        <v>135</v>
      </c>
      <c r="F104">
        <v>7.3542716815303111E-2</v>
      </c>
    </row>
    <row r="105" spans="1:6" x14ac:dyDescent="0.25">
      <c r="A105" s="72" t="s">
        <v>136</v>
      </c>
      <c r="B105">
        <v>32164297000</v>
      </c>
      <c r="C105">
        <v>-158063000</v>
      </c>
      <c r="D105">
        <v>474000000</v>
      </c>
      <c r="E105">
        <v>572531000</v>
      </c>
    </row>
    <row r="106" spans="1:6" x14ac:dyDescent="0.25">
      <c r="A106" s="72" t="s">
        <v>137</v>
      </c>
      <c r="F106">
        <v>0.52502340318283292</v>
      </c>
    </row>
    <row r="107" spans="1:6" x14ac:dyDescent="0.25">
      <c r="A107" s="72" t="s">
        <v>138</v>
      </c>
      <c r="B107">
        <v>30386808000</v>
      </c>
      <c r="C107">
        <v>-118370000</v>
      </c>
      <c r="D107">
        <v>478750000</v>
      </c>
      <c r="E107">
        <v>668340000</v>
      </c>
    </row>
    <row r="108" spans="1:6" x14ac:dyDescent="0.25">
      <c r="A108" s="72" t="s">
        <v>139</v>
      </c>
      <c r="B108">
        <v>29546000000</v>
      </c>
      <c r="C108">
        <v>-10800000</v>
      </c>
      <c r="D108">
        <v>465641026</v>
      </c>
      <c r="E108">
        <v>663500000</v>
      </c>
      <c r="F108">
        <v>8.0969633214003967E-2</v>
      </c>
    </row>
    <row r="109" spans="1:6" x14ac:dyDescent="0.25">
      <c r="A109" s="72" t="s">
        <v>140</v>
      </c>
      <c r="B109">
        <v>28401400000</v>
      </c>
      <c r="C109">
        <v>177700000</v>
      </c>
      <c r="D109">
        <v>461785714</v>
      </c>
      <c r="E109">
        <v>716000000</v>
      </c>
      <c r="F109">
        <v>0.1148221626848502</v>
      </c>
    </row>
    <row r="110" spans="1:6" x14ac:dyDescent="0.25">
      <c r="A110" s="72" t="s">
        <v>141</v>
      </c>
      <c r="B110">
        <v>27456000000</v>
      </c>
      <c r="C110">
        <v>153000000</v>
      </c>
      <c r="D110">
        <v>474000000</v>
      </c>
      <c r="E110">
        <v>697300000</v>
      </c>
    </row>
    <row r="111" spans="1:6" x14ac:dyDescent="0.25">
      <c r="A111" s="72" t="s">
        <v>142</v>
      </c>
      <c r="B111">
        <v>26351300000</v>
      </c>
      <c r="C111">
        <v>136300000</v>
      </c>
      <c r="D111">
        <v>460434783</v>
      </c>
      <c r="E111">
        <v>408800000</v>
      </c>
    </row>
    <row r="112" spans="1:6" x14ac:dyDescent="0.25">
      <c r="A112" s="72" t="s">
        <v>143</v>
      </c>
      <c r="B112">
        <v>25635600000</v>
      </c>
      <c r="C112">
        <v>70100000</v>
      </c>
      <c r="D112">
        <v>460606061</v>
      </c>
      <c r="E112">
        <v>324600000</v>
      </c>
      <c r="F112">
        <v>3.08886971527178E-2</v>
      </c>
    </row>
    <row r="113" spans="1:6" x14ac:dyDescent="0.25">
      <c r="A113" s="72" t="s">
        <v>144</v>
      </c>
      <c r="B113">
        <v>24838200000</v>
      </c>
      <c r="C113">
        <v>119800000</v>
      </c>
      <c r="D113">
        <v>460000000</v>
      </c>
      <c r="E113">
        <v>381800000</v>
      </c>
    </row>
    <row r="114" spans="1:6" x14ac:dyDescent="0.25">
      <c r="A114" s="72" t="s">
        <v>145</v>
      </c>
      <c r="B114">
        <v>24269900000</v>
      </c>
      <c r="C114">
        <v>165700000</v>
      </c>
      <c r="D114">
        <v>467000000</v>
      </c>
      <c r="E114">
        <v>362000000</v>
      </c>
    </row>
    <row r="115" spans="1:6" x14ac:dyDescent="0.25">
      <c r="A115" s="72" t="s">
        <v>146</v>
      </c>
      <c r="F115">
        <v>0.37503338060333719</v>
      </c>
    </row>
    <row r="116" spans="1:6" x14ac:dyDescent="0.25">
      <c r="A116" s="72" t="s">
        <v>147</v>
      </c>
      <c r="B116">
        <v>23478800000</v>
      </c>
      <c r="C116">
        <v>203600000</v>
      </c>
      <c r="D116">
        <v>448421053</v>
      </c>
      <c r="E116">
        <v>391700000</v>
      </c>
    </row>
    <row r="117" spans="1:6" x14ac:dyDescent="0.25">
      <c r="A117" s="72" t="s">
        <v>148</v>
      </c>
      <c r="B117">
        <v>22976900000</v>
      </c>
      <c r="C117">
        <v>227000000</v>
      </c>
      <c r="D117">
        <v>450000000</v>
      </c>
      <c r="E117">
        <v>340700000</v>
      </c>
      <c r="F117">
        <v>6.5179783924106172E-2</v>
      </c>
    </row>
    <row r="118" spans="1:6" x14ac:dyDescent="0.25">
      <c r="A118" s="72" t="s">
        <v>149</v>
      </c>
      <c r="B118">
        <v>22420800000</v>
      </c>
      <c r="C118">
        <v>143500000</v>
      </c>
      <c r="D118">
        <v>445000000</v>
      </c>
      <c r="E118">
        <v>205700000</v>
      </c>
    </row>
    <row r="119" spans="1:6" x14ac:dyDescent="0.25">
      <c r="A119" s="72" t="s">
        <v>150</v>
      </c>
      <c r="B119">
        <v>21874400000</v>
      </c>
      <c r="C119">
        <v>36800000</v>
      </c>
      <c r="D119">
        <v>459000000</v>
      </c>
      <c r="E119">
        <v>175500000</v>
      </c>
    </row>
    <row r="120" spans="1:6" x14ac:dyDescent="0.25">
      <c r="A120" s="72" t="s">
        <v>151</v>
      </c>
      <c r="F120">
        <v>0.36173646352950822</v>
      </c>
    </row>
    <row r="121" spans="1:6" x14ac:dyDescent="0.25">
      <c r="A121" s="72" t="s">
        <v>152</v>
      </c>
      <c r="B121">
        <v>21141300000</v>
      </c>
      <c r="C121">
        <v>11300000</v>
      </c>
      <c r="D121">
        <v>414375000</v>
      </c>
      <c r="E121">
        <v>136700000</v>
      </c>
    </row>
    <row r="122" spans="1:6" x14ac:dyDescent="0.25">
      <c r="A122" s="72" t="s">
        <v>153</v>
      </c>
      <c r="B122">
        <v>20616600000</v>
      </c>
      <c r="C122">
        <v>57200000</v>
      </c>
      <c r="D122">
        <v>423478261</v>
      </c>
      <c r="E122">
        <v>87500000</v>
      </c>
      <c r="F122">
        <v>1.095135517307577E-2</v>
      </c>
    </row>
    <row r="123" spans="1:6" x14ac:dyDescent="0.25">
      <c r="A123" s="72" t="s">
        <v>154</v>
      </c>
      <c r="B123">
        <v>20066400000</v>
      </c>
      <c r="C123">
        <v>43600000</v>
      </c>
      <c r="D123">
        <v>397500000</v>
      </c>
      <c r="E123">
        <v>111000000</v>
      </c>
    </row>
    <row r="124" spans="1:6" x14ac:dyDescent="0.25">
      <c r="A124" s="72" t="s">
        <v>155</v>
      </c>
      <c r="B124">
        <v>19566600000</v>
      </c>
      <c r="C124">
        <v>-80400000</v>
      </c>
      <c r="D124">
        <v>438000000</v>
      </c>
      <c r="E124">
        <v>102000000</v>
      </c>
    </row>
    <row r="125" spans="1:6" x14ac:dyDescent="0.25">
      <c r="A125" s="72" t="s">
        <v>156</v>
      </c>
      <c r="F125">
        <v>0.41048453326033402</v>
      </c>
    </row>
    <row r="126" spans="1:6" x14ac:dyDescent="0.25">
      <c r="A126" s="72" t="s">
        <v>157</v>
      </c>
      <c r="B126">
        <v>19056200000</v>
      </c>
      <c r="C126">
        <v>-120300000</v>
      </c>
      <c r="D126">
        <v>375454545</v>
      </c>
      <c r="E126">
        <v>80500000</v>
      </c>
      <c r="F126">
        <v>-0.1148298341974231</v>
      </c>
    </row>
    <row r="127" spans="1:6" x14ac:dyDescent="0.25">
      <c r="A127" s="72" t="s">
        <v>158</v>
      </c>
      <c r="B127">
        <v>18640900000</v>
      </c>
      <c r="C127">
        <v>-222800000</v>
      </c>
      <c r="D127">
        <v>396666667</v>
      </c>
      <c r="E127">
        <v>40500000</v>
      </c>
    </row>
    <row r="128" spans="1:6" x14ac:dyDescent="0.25">
      <c r="A128" s="72" t="s">
        <v>159</v>
      </c>
      <c r="B128">
        <v>18259500000</v>
      </c>
      <c r="C128">
        <v>-325600000</v>
      </c>
      <c r="D128">
        <v>381538462</v>
      </c>
      <c r="E128">
        <v>12900000</v>
      </c>
    </row>
    <row r="129" spans="1:6" x14ac:dyDescent="0.25">
      <c r="A129" s="72" t="s">
        <v>160</v>
      </c>
      <c r="F129">
        <v>1.78069788498596E-2</v>
      </c>
    </row>
    <row r="130" spans="1:6" x14ac:dyDescent="0.25">
      <c r="A130" s="72" t="s">
        <v>161</v>
      </c>
      <c r="B130">
        <v>17905800000</v>
      </c>
      <c r="C130">
        <v>-252200000</v>
      </c>
      <c r="D130">
        <v>448000000</v>
      </c>
      <c r="E130">
        <v>45700000</v>
      </c>
    </row>
    <row r="131" spans="1:6" x14ac:dyDescent="0.25">
      <c r="A131" s="72" t="s">
        <v>162</v>
      </c>
      <c r="F131">
        <v>0.49234472319412398</v>
      </c>
    </row>
    <row r="132" spans="1:6" x14ac:dyDescent="0.25">
      <c r="A132" s="72" t="s">
        <v>163</v>
      </c>
      <c r="F132">
        <v>-0.23186119873817029</v>
      </c>
    </row>
    <row r="133" spans="1:6" x14ac:dyDescent="0.25">
      <c r="A133" s="72" t="s">
        <v>164</v>
      </c>
      <c r="B133">
        <v>17305400000</v>
      </c>
      <c r="C133">
        <v>-361500000</v>
      </c>
      <c r="D133">
        <v>362222222</v>
      </c>
      <c r="E133">
        <v>63500000</v>
      </c>
    </row>
    <row r="134" spans="1:6" x14ac:dyDescent="0.25">
      <c r="A134" s="72" t="s">
        <v>165</v>
      </c>
      <c r="B134">
        <v>17028800000</v>
      </c>
      <c r="C134">
        <v>-254100000</v>
      </c>
      <c r="D134">
        <v>440909091</v>
      </c>
      <c r="E134">
        <v>45800000</v>
      </c>
    </row>
    <row r="135" spans="1:6" x14ac:dyDescent="0.25">
      <c r="A135" s="72" t="s">
        <v>166</v>
      </c>
      <c r="F135">
        <v>0.18991048734666821</v>
      </c>
    </row>
    <row r="136" spans="1:6" x14ac:dyDescent="0.25">
      <c r="A136" s="72" t="s">
        <v>167</v>
      </c>
      <c r="B136">
        <v>16822900000</v>
      </c>
      <c r="C136">
        <v>-200100000</v>
      </c>
      <c r="D136">
        <v>440909091</v>
      </c>
      <c r="E136">
        <v>85000000</v>
      </c>
      <c r="F136">
        <v>0.19220187547456341</v>
      </c>
    </row>
    <row r="137" spans="1:6" x14ac:dyDescent="0.25">
      <c r="A137" s="72" t="s">
        <v>168</v>
      </c>
      <c r="B137">
        <v>16480600000</v>
      </c>
      <c r="C137">
        <v>-226800000</v>
      </c>
      <c r="D137">
        <v>404000000</v>
      </c>
      <c r="E137">
        <v>53600000</v>
      </c>
    </row>
    <row r="138" spans="1:6" x14ac:dyDescent="0.25">
      <c r="A138" s="72" t="s">
        <v>169</v>
      </c>
      <c r="B138">
        <v>20610200000</v>
      </c>
      <c r="C138">
        <v>-223500000</v>
      </c>
      <c r="D138">
        <v>400000000</v>
      </c>
      <c r="E138">
        <v>99300000</v>
      </c>
      <c r="F138">
        <v>1.091261349835174</v>
      </c>
    </row>
    <row r="139" spans="1:6" x14ac:dyDescent="0.25">
      <c r="A139" s="72" t="s">
        <v>170</v>
      </c>
      <c r="B139">
        <v>18719700000</v>
      </c>
      <c r="C139">
        <v>-320600000</v>
      </c>
      <c r="D139">
        <v>445000000</v>
      </c>
      <c r="E139">
        <v>36400000</v>
      </c>
    </row>
    <row r="140" spans="1:6" x14ac:dyDescent="0.25">
      <c r="A140" s="72" t="s">
        <v>171</v>
      </c>
      <c r="B140">
        <v>16252600000</v>
      </c>
      <c r="C140">
        <v>-456200000</v>
      </c>
      <c r="D140">
        <v>412500000</v>
      </c>
      <c r="E140">
        <v>50700000</v>
      </c>
    </row>
    <row r="141" spans="1:6" x14ac:dyDescent="0.25">
      <c r="A141" s="72" t="s">
        <v>172</v>
      </c>
      <c r="F141">
        <v>1.256378877807012</v>
      </c>
    </row>
    <row r="142" spans="1:6" x14ac:dyDescent="0.25">
      <c r="A142" s="72" t="s">
        <v>173</v>
      </c>
      <c r="B142">
        <v>15154700000</v>
      </c>
      <c r="C142">
        <v>-237200000</v>
      </c>
      <c r="D142">
        <v>190000000</v>
      </c>
      <c r="E142">
        <v>101900000</v>
      </c>
    </row>
    <row r="143" spans="1:6" x14ac:dyDescent="0.25">
      <c r="A143" s="72" t="s">
        <v>174</v>
      </c>
      <c r="B143">
        <v>7642100000</v>
      </c>
      <c r="C143">
        <v>-191100000</v>
      </c>
      <c r="D143">
        <v>190000000</v>
      </c>
      <c r="E143">
        <v>-3400000</v>
      </c>
    </row>
    <row r="144" spans="1:6" x14ac:dyDescent="0.25">
      <c r="A144" s="72" t="s">
        <v>175</v>
      </c>
      <c r="B144">
        <v>7571300000</v>
      </c>
      <c r="C144">
        <v>-192000000</v>
      </c>
      <c r="D144">
        <v>193333333</v>
      </c>
      <c r="E144">
        <v>-31300000</v>
      </c>
    </row>
    <row r="145" spans="1:5" x14ac:dyDescent="0.25">
      <c r="A145" s="72" t="s">
        <v>176</v>
      </c>
      <c r="B145">
        <v>7456200000</v>
      </c>
      <c r="C145">
        <v>-195000000</v>
      </c>
      <c r="D145">
        <v>211818182</v>
      </c>
      <c r="E145">
        <v>3500000</v>
      </c>
    </row>
    <row r="146" spans="1:5" x14ac:dyDescent="0.25">
      <c r="A146" s="72" t="s">
        <v>177</v>
      </c>
      <c r="B146">
        <v>7320200000</v>
      </c>
      <c r="C146">
        <v>-279200000</v>
      </c>
      <c r="D146">
        <v>203571429</v>
      </c>
      <c r="E146">
        <v>-21100000</v>
      </c>
    </row>
    <row r="147" spans="1:5" x14ac:dyDescent="0.25">
      <c r="A147" s="72" t="s">
        <v>178</v>
      </c>
      <c r="B147">
        <v>7200900000</v>
      </c>
      <c r="C147">
        <v>1200000</v>
      </c>
      <c r="D147">
        <v>203571429</v>
      </c>
      <c r="E147">
        <v>13400000</v>
      </c>
    </row>
    <row r="148" spans="1:5" x14ac:dyDescent="0.25">
      <c r="A148" s="72" t="s">
        <v>179</v>
      </c>
      <c r="B148">
        <v>7046900000</v>
      </c>
      <c r="C148">
        <v>33600000</v>
      </c>
      <c r="D148">
        <v>206000000</v>
      </c>
      <c r="E148">
        <v>11100000</v>
      </c>
    </row>
    <row r="149" spans="1:5" x14ac:dyDescent="0.25">
      <c r="A149" s="72" t="s">
        <v>180</v>
      </c>
      <c r="B149">
        <v>6889700000</v>
      </c>
      <c r="C149">
        <v>-137100000</v>
      </c>
      <c r="D149">
        <v>218695652</v>
      </c>
      <c r="E149">
        <v>39400000</v>
      </c>
    </row>
    <row r="150" spans="1:5" x14ac:dyDescent="0.25">
      <c r="A150" s="72" t="s">
        <v>181</v>
      </c>
      <c r="B150">
        <v>6598100000</v>
      </c>
      <c r="C150">
        <v>-19600000</v>
      </c>
      <c r="D150">
        <v>209166667</v>
      </c>
      <c r="E150">
        <v>-13300000</v>
      </c>
    </row>
    <row r="151" spans="1:5" x14ac:dyDescent="0.25">
      <c r="A151" s="72" t="s">
        <v>182</v>
      </c>
      <c r="B151">
        <v>6228600000</v>
      </c>
      <c r="C151">
        <v>-323400000</v>
      </c>
      <c r="D151">
        <v>209166667</v>
      </c>
      <c r="E151">
        <v>-2900000</v>
      </c>
    </row>
    <row r="152" spans="1:5" x14ac:dyDescent="0.25">
      <c r="A152" s="72" t="s">
        <v>183</v>
      </c>
      <c r="B152">
        <v>5901000000</v>
      </c>
      <c r="C152">
        <v>-308400000</v>
      </c>
      <c r="D152">
        <v>214615385</v>
      </c>
      <c r="E152">
        <v>-4100000</v>
      </c>
    </row>
    <row r="153" spans="1:5" x14ac:dyDescent="0.25">
      <c r="A153" s="72" t="s">
        <v>184</v>
      </c>
      <c r="B153">
        <v>5632000000</v>
      </c>
      <c r="C153">
        <v>65500000</v>
      </c>
      <c r="D153">
        <v>213636364</v>
      </c>
      <c r="E153">
        <v>17700000</v>
      </c>
    </row>
    <row r="154" spans="1:5" x14ac:dyDescent="0.25">
      <c r="A154" s="72" t="s">
        <v>185</v>
      </c>
      <c r="B154">
        <v>5286400000</v>
      </c>
      <c r="C154">
        <v>-35700000</v>
      </c>
      <c r="D154">
        <v>211818182</v>
      </c>
      <c r="E154">
        <v>-14800000</v>
      </c>
    </row>
    <row r="155" spans="1:5" x14ac:dyDescent="0.25">
      <c r="A155" s="72" t="s">
        <v>186</v>
      </c>
      <c r="B155">
        <v>5298400000</v>
      </c>
      <c r="C155">
        <v>53200000</v>
      </c>
      <c r="D155">
        <v>211818182</v>
      </c>
      <c r="E155">
        <v>-10600000</v>
      </c>
    </row>
    <row r="156" spans="1:5" x14ac:dyDescent="0.25">
      <c r="A156" s="72" t="s">
        <v>187</v>
      </c>
      <c r="B156">
        <v>5207700000</v>
      </c>
      <c r="C156">
        <v>38600000</v>
      </c>
      <c r="D156">
        <v>215833333</v>
      </c>
      <c r="E156">
        <v>-6100000</v>
      </c>
    </row>
    <row r="157" spans="1:5" x14ac:dyDescent="0.25">
      <c r="A157" s="72" t="s">
        <v>188</v>
      </c>
      <c r="B157">
        <v>5149900000</v>
      </c>
      <c r="C157">
        <v>-10200000</v>
      </c>
      <c r="D157">
        <v>221500000</v>
      </c>
      <c r="E157">
        <v>-28300000</v>
      </c>
    </row>
    <row r="158" spans="1:5" x14ac:dyDescent="0.25">
      <c r="A158" s="72" t="s">
        <v>189</v>
      </c>
      <c r="B158">
        <v>4900700000</v>
      </c>
      <c r="C158">
        <v>0</v>
      </c>
      <c r="D158">
        <v>210652000</v>
      </c>
      <c r="E158">
        <v>-6500000</v>
      </c>
    </row>
    <row r="159" spans="1:5" x14ac:dyDescent="0.25">
      <c r="A159" s="72" t="s">
        <v>190</v>
      </c>
      <c r="B159">
        <v>4607900000</v>
      </c>
      <c r="C159">
        <v>0</v>
      </c>
      <c r="D159">
        <v>210652000</v>
      </c>
    </row>
    <row r="160" spans="1:5" x14ac:dyDescent="0.25">
      <c r="A160" s="72" t="s">
        <v>191</v>
      </c>
      <c r="B160">
        <v>4482400000</v>
      </c>
      <c r="C160">
        <v>0</v>
      </c>
      <c r="D160">
        <v>210652000</v>
      </c>
    </row>
    <row r="161" spans="1:5" x14ac:dyDescent="0.25">
      <c r="A161" s="72" t="s">
        <v>192</v>
      </c>
      <c r="B161">
        <v>4289800000</v>
      </c>
      <c r="C161">
        <v>0</v>
      </c>
      <c r="D161">
        <v>210652000</v>
      </c>
    </row>
    <row r="162" spans="1:5" x14ac:dyDescent="0.25">
      <c r="A162" s="72" t="s">
        <v>193</v>
      </c>
      <c r="B162">
        <v>4005600000</v>
      </c>
      <c r="C162">
        <v>0</v>
      </c>
      <c r="D162">
        <v>209040000</v>
      </c>
      <c r="E162">
        <v>290100000</v>
      </c>
    </row>
    <row r="163" spans="1:5" x14ac:dyDescent="0.25">
      <c r="A163" s="72" t="s">
        <v>194</v>
      </c>
      <c r="B163">
        <v>3942100000</v>
      </c>
      <c r="C163">
        <v>0</v>
      </c>
      <c r="D163">
        <v>209040000</v>
      </c>
    </row>
    <row r="164" spans="1:5" x14ac:dyDescent="0.25">
      <c r="A164" s="72" t="s">
        <v>195</v>
      </c>
      <c r="B164">
        <v>3720500000</v>
      </c>
      <c r="C164">
        <v>0</v>
      </c>
      <c r="D164">
        <v>209040000</v>
      </c>
    </row>
    <row r="165" spans="1:5" x14ac:dyDescent="0.25">
      <c r="A165" s="72" t="s">
        <v>196</v>
      </c>
      <c r="B165">
        <v>3556600000</v>
      </c>
      <c r="C165">
        <v>0</v>
      </c>
      <c r="D165">
        <v>209040000</v>
      </c>
    </row>
    <row r="166" spans="1:5" x14ac:dyDescent="0.25">
      <c r="A166" s="72" t="s">
        <v>197</v>
      </c>
      <c r="B166">
        <v>3305700000</v>
      </c>
      <c r="C166">
        <v>0</v>
      </c>
      <c r="D166">
        <v>208470000</v>
      </c>
      <c r="E166">
        <v>263600000</v>
      </c>
    </row>
    <row r="167" spans="1:5" x14ac:dyDescent="0.25">
      <c r="A167" s="72" t="s">
        <v>198</v>
      </c>
      <c r="B167">
        <v>3146800000</v>
      </c>
      <c r="C167">
        <v>0</v>
      </c>
      <c r="D167">
        <v>208470000</v>
      </c>
    </row>
    <row r="168" spans="1:5" x14ac:dyDescent="0.25">
      <c r="A168" s="72" t="s">
        <v>199</v>
      </c>
      <c r="B168">
        <v>3013000000</v>
      </c>
      <c r="C168">
        <v>0</v>
      </c>
      <c r="D168">
        <v>199118000</v>
      </c>
    </row>
    <row r="169" spans="1:5" x14ac:dyDescent="0.25">
      <c r="A169" s="72" t="s">
        <v>200</v>
      </c>
      <c r="B169">
        <v>2865300000</v>
      </c>
      <c r="C169">
        <v>0</v>
      </c>
      <c r="D169">
        <v>199118000</v>
      </c>
    </row>
    <row r="170" spans="1:5" x14ac:dyDescent="0.25">
      <c r="A170" s="72" t="s">
        <v>201</v>
      </c>
      <c r="B170">
        <v>2648700000</v>
      </c>
      <c r="C170">
        <v>0</v>
      </c>
      <c r="D170">
        <v>195202000</v>
      </c>
      <c r="E170">
        <v>135100000</v>
      </c>
    </row>
    <row r="171" spans="1:5" x14ac:dyDescent="0.25">
      <c r="A171" s="72" t="s">
        <v>202</v>
      </c>
      <c r="B171">
        <v>2428700000</v>
      </c>
      <c r="C171">
        <v>0</v>
      </c>
      <c r="D171">
        <v>195202000</v>
      </c>
    </row>
    <row r="172" spans="1:5" x14ac:dyDescent="0.25">
      <c r="A172" s="72" t="s">
        <v>203</v>
      </c>
      <c r="D172">
        <v>195202000</v>
      </c>
    </row>
    <row r="173" spans="1:5" x14ac:dyDescent="0.25">
      <c r="A173" s="72" t="s">
        <v>204</v>
      </c>
      <c r="D173">
        <v>195202000</v>
      </c>
    </row>
    <row r="174" spans="1:5" x14ac:dyDescent="0.25">
      <c r="A174" s="72" t="s">
        <v>205</v>
      </c>
      <c r="D174">
        <v>195202000</v>
      </c>
      <c r="E174">
        <v>146900000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T32"/>
  <sheetViews>
    <sheetView workbookViewId="0">
      <selection activeCell="R14" sqref="R14"/>
    </sheetView>
  </sheetViews>
  <sheetFormatPr defaultRowHeight="15" x14ac:dyDescent="0.25"/>
  <cols>
    <col min="1" max="1" width="10.42578125" bestFit="1" customWidth="1"/>
    <col min="2" max="2" width="7.5703125" bestFit="1" customWidth="1"/>
    <col min="18" max="18" width="20" bestFit="1" customWidth="1"/>
  </cols>
  <sheetData>
    <row r="1" spans="1:46" x14ac:dyDescent="0.25">
      <c r="A1" s="27" t="s">
        <v>206</v>
      </c>
      <c r="B1" s="27" t="s">
        <v>207</v>
      </c>
      <c r="C1" t="s">
        <v>208</v>
      </c>
      <c r="D1" t="s">
        <v>209</v>
      </c>
      <c r="F1" s="27" t="s">
        <v>207</v>
      </c>
      <c r="G1" t="s">
        <v>208</v>
      </c>
      <c r="H1" t="s">
        <v>209</v>
      </c>
      <c r="J1" t="s">
        <v>210</v>
      </c>
      <c r="K1" t="s">
        <v>208</v>
      </c>
      <c r="L1" t="s">
        <v>209</v>
      </c>
      <c r="N1" t="s">
        <v>211</v>
      </c>
      <c r="O1" t="s">
        <v>208</v>
      </c>
      <c r="P1" t="s">
        <v>209</v>
      </c>
      <c r="R1">
        <v>2025</v>
      </c>
      <c r="S1">
        <f t="shared" ref="S1:AT1" si="0">R1+1</f>
        <v>2026</v>
      </c>
      <c r="T1">
        <f t="shared" si="0"/>
        <v>2027</v>
      </c>
      <c r="U1">
        <f t="shared" si="0"/>
        <v>2028</v>
      </c>
      <c r="V1">
        <f t="shared" si="0"/>
        <v>2029</v>
      </c>
      <c r="W1">
        <f t="shared" si="0"/>
        <v>2030</v>
      </c>
      <c r="X1">
        <f t="shared" si="0"/>
        <v>2031</v>
      </c>
      <c r="Y1">
        <f t="shared" si="0"/>
        <v>2032</v>
      </c>
      <c r="Z1">
        <f t="shared" si="0"/>
        <v>2033</v>
      </c>
      <c r="AA1">
        <f t="shared" si="0"/>
        <v>2034</v>
      </c>
      <c r="AB1">
        <f t="shared" si="0"/>
        <v>2035</v>
      </c>
      <c r="AC1">
        <f t="shared" si="0"/>
        <v>2036</v>
      </c>
      <c r="AD1">
        <f t="shared" si="0"/>
        <v>2037</v>
      </c>
      <c r="AE1">
        <f t="shared" si="0"/>
        <v>2038</v>
      </c>
      <c r="AF1">
        <f t="shared" si="0"/>
        <v>2039</v>
      </c>
      <c r="AG1">
        <f t="shared" si="0"/>
        <v>2040</v>
      </c>
      <c r="AH1">
        <f t="shared" si="0"/>
        <v>2041</v>
      </c>
      <c r="AI1">
        <f t="shared" si="0"/>
        <v>2042</v>
      </c>
      <c r="AJ1">
        <f t="shared" si="0"/>
        <v>2043</v>
      </c>
      <c r="AK1">
        <f t="shared" si="0"/>
        <v>2044</v>
      </c>
      <c r="AL1">
        <f t="shared" si="0"/>
        <v>2045</v>
      </c>
      <c r="AM1">
        <f t="shared" si="0"/>
        <v>2046</v>
      </c>
      <c r="AN1">
        <f t="shared" si="0"/>
        <v>2047</v>
      </c>
      <c r="AO1">
        <f t="shared" si="0"/>
        <v>2048</v>
      </c>
      <c r="AP1">
        <f t="shared" si="0"/>
        <v>2049</v>
      </c>
      <c r="AQ1">
        <f t="shared" si="0"/>
        <v>2050</v>
      </c>
      <c r="AR1">
        <f t="shared" si="0"/>
        <v>2051</v>
      </c>
      <c r="AS1">
        <f t="shared" si="0"/>
        <v>2052</v>
      </c>
      <c r="AT1">
        <f t="shared" si="0"/>
        <v>2053</v>
      </c>
    </row>
    <row r="2" spans="1:46" x14ac:dyDescent="0.25">
      <c r="A2" s="29">
        <v>45596</v>
      </c>
      <c r="B2" s="16">
        <v>0.24979962188968649</v>
      </c>
      <c r="C2" s="16">
        <f t="shared" ref="C2:C24" si="1">B2/B3-1</f>
        <v>-0.21198857448048425</v>
      </c>
      <c r="D2" s="16">
        <f t="shared" ref="D2:D24" si="2">B2-B3</f>
        <v>-6.7200378110313513E-2</v>
      </c>
      <c r="E2" s="16"/>
      <c r="F2" s="16">
        <v>0.24979962188968649</v>
      </c>
      <c r="G2" s="16">
        <f t="shared" ref="G2:G21" si="3">F2/F6-1</f>
        <v>-0.292352345921568</v>
      </c>
      <c r="H2" s="16">
        <f t="shared" ref="H2:H21" si="4">F2-F6</f>
        <v>-0.10320037811031349</v>
      </c>
      <c r="I2" s="16"/>
      <c r="K2" s="16"/>
      <c r="L2" s="16"/>
      <c r="M2" s="16"/>
      <c r="O2" s="16"/>
      <c r="P2" s="16"/>
      <c r="Q2" s="16"/>
      <c r="R2" s="16">
        <f>F2</f>
        <v>0.24979962188968649</v>
      </c>
      <c r="S2" s="16">
        <f t="shared" ref="S2:AT2" si="5">R2*(1+$G$32)</f>
        <v>0.2064695043567529</v>
      </c>
      <c r="T2" s="16">
        <f t="shared" si="5"/>
        <v>0.17065540734945067</v>
      </c>
      <c r="U2" s="16">
        <f t="shared" si="5"/>
        <v>0.14105360570481953</v>
      </c>
      <c r="V2" s="16">
        <f t="shared" si="5"/>
        <v>0.11658651777490683</v>
      </c>
      <c r="W2" s="16">
        <f t="shared" si="5"/>
        <v>9.6363478685708215E-2</v>
      </c>
      <c r="X2" s="16">
        <f t="shared" si="5"/>
        <v>7.9648317847002117E-2</v>
      </c>
      <c r="Y2" s="16">
        <f t="shared" si="5"/>
        <v>6.5832560451119751E-2</v>
      </c>
      <c r="Z2" s="16">
        <f t="shared" si="5"/>
        <v>5.4413277426341292E-2</v>
      </c>
      <c r="AA2" s="16">
        <f t="shared" si="5"/>
        <v>4.4974777526302676E-2</v>
      </c>
      <c r="AB2" s="16">
        <f t="shared" si="5"/>
        <v>3.7173475100421405E-2</v>
      </c>
      <c r="AC2" s="16">
        <f t="shared" si="5"/>
        <v>3.0725382693299382E-2</v>
      </c>
      <c r="AD2" s="16">
        <f t="shared" si="5"/>
        <v>2.5395773171580593E-2</v>
      </c>
      <c r="AE2" s="16">
        <f t="shared" si="5"/>
        <v>2.0990635053115967E-2</v>
      </c>
      <c r="AF2" s="16">
        <f t="shared" si="5"/>
        <v>1.7349609990459609E-2</v>
      </c>
      <c r="AG2" s="16">
        <f t="shared" si="5"/>
        <v>1.43401553149471E-2</v>
      </c>
      <c r="AH2" s="16">
        <f t="shared" si="5"/>
        <v>1.1852719142959706E-2</v>
      </c>
      <c r="AI2" s="16">
        <f t="shared" si="5"/>
        <v>9.7967524058439198E-3</v>
      </c>
      <c r="AJ2" s="16">
        <f t="shared" si="5"/>
        <v>8.0974126311274992E-3</v>
      </c>
      <c r="AK2" s="16">
        <f t="shared" si="5"/>
        <v>6.6928394841979212E-3</v>
      </c>
      <c r="AL2" s="16">
        <f t="shared" si="5"/>
        <v>5.5319028931592783E-3</v>
      </c>
      <c r="AM2" s="16">
        <f t="shared" si="5"/>
        <v>4.5723417828257345E-3</v>
      </c>
      <c r="AN2" s="16">
        <f t="shared" si="5"/>
        <v>3.7792256629859949E-3</v>
      </c>
      <c r="AO2" s="16">
        <f t="shared" si="5"/>
        <v>3.1236830687983333E-3</v>
      </c>
      <c r="AP2" s="16">
        <f t="shared" si="5"/>
        <v>2.5818505652790208E-3</v>
      </c>
      <c r="AQ2" s="16">
        <f t="shared" si="5"/>
        <v>2.1340040569467764E-3</v>
      </c>
      <c r="AR2" s="16">
        <f t="shared" si="5"/>
        <v>1.7638407800620141E-3</v>
      </c>
      <c r="AS2" s="16">
        <f t="shared" si="5"/>
        <v>1.4578858401333248E-3</v>
      </c>
      <c r="AT2" s="16">
        <f t="shared" si="5"/>
        <v>1.2050016911313974E-3</v>
      </c>
    </row>
    <row r="3" spans="1:46" x14ac:dyDescent="0.25">
      <c r="A3" s="27" t="s">
        <v>212</v>
      </c>
      <c r="B3" s="16">
        <v>0.317</v>
      </c>
      <c r="C3" s="16">
        <f t="shared" si="1"/>
        <v>-3.9393939393939426E-2</v>
      </c>
      <c r="D3" s="16">
        <f t="shared" si="2"/>
        <v>-1.3000000000000012E-2</v>
      </c>
      <c r="E3" s="16"/>
      <c r="F3" s="16">
        <v>0.317</v>
      </c>
      <c r="G3" s="16">
        <f t="shared" si="3"/>
        <v>-0.13623978201634879</v>
      </c>
      <c r="H3" s="16">
        <f t="shared" si="4"/>
        <v>-4.9999999999999989E-2</v>
      </c>
      <c r="I3" s="16"/>
      <c r="J3">
        <v>0.753</v>
      </c>
      <c r="K3" s="16">
        <f t="shared" ref="K3:K21" si="6">J3/J7-1</f>
        <v>1.7567567567567499E-2</v>
      </c>
      <c r="L3" s="16">
        <f t="shared" ref="L3:L21" si="7">J3-J7</f>
        <v>1.3000000000000012E-2</v>
      </c>
      <c r="M3" s="16"/>
      <c r="N3">
        <v>0.315</v>
      </c>
      <c r="O3" s="16">
        <f t="shared" ref="O3:O21" si="8">N3/N7-1</f>
        <v>4.3046357615894149E-2</v>
      </c>
      <c r="P3" s="16">
        <f t="shared" ref="P3:P21" si="9">N3-N7</f>
        <v>1.3000000000000012E-2</v>
      </c>
      <c r="Q3" s="16"/>
      <c r="R3">
        <f>J3</f>
        <v>0.753</v>
      </c>
      <c r="S3" s="23">
        <f t="shared" ref="S3:AT3" si="10">R3*(1+($K$32/2))</f>
        <v>0.75961418918918922</v>
      </c>
      <c r="T3" s="23">
        <f t="shared" si="10"/>
        <v>0.76628647598612132</v>
      </c>
      <c r="U3" s="23">
        <f t="shared" si="10"/>
        <v>0.77301737070762111</v>
      </c>
      <c r="V3" s="23">
        <f t="shared" si="10"/>
        <v>0.77980738815302597</v>
      </c>
      <c r="W3" s="23">
        <f t="shared" si="10"/>
        <v>0.78665704764355937</v>
      </c>
      <c r="X3" s="23">
        <f t="shared" si="10"/>
        <v>0.7935668730620502</v>
      </c>
      <c r="Y3" s="23">
        <f t="shared" si="10"/>
        <v>0.80053739289300074</v>
      </c>
      <c r="Z3" s="23">
        <f t="shared" si="10"/>
        <v>0.80756914026300686</v>
      </c>
      <c r="AA3" s="23">
        <f t="shared" si="10"/>
        <v>0.81466265298153329</v>
      </c>
      <c r="AB3" s="23">
        <f t="shared" si="10"/>
        <v>0.82181847358204685</v>
      </c>
      <c r="AC3" s="23">
        <f t="shared" si="10"/>
        <v>0.82903714936351081</v>
      </c>
      <c r="AD3" s="23">
        <f t="shared" si="10"/>
        <v>0.83631923243224437</v>
      </c>
      <c r="AE3" s="23">
        <f t="shared" si="10"/>
        <v>0.84366527974414929</v>
      </c>
      <c r="AF3" s="23">
        <f t="shared" si="10"/>
        <v>0.85107585314730738</v>
      </c>
      <c r="AG3" s="23">
        <f t="shared" si="10"/>
        <v>0.85855151942495267</v>
      </c>
      <c r="AH3" s="23">
        <f t="shared" si="10"/>
        <v>0.86609285033882055</v>
      </c>
      <c r="AI3" s="23">
        <f t="shared" si="10"/>
        <v>0.87370042267287784</v>
      </c>
      <c r="AJ3" s="23">
        <f t="shared" si="10"/>
        <v>0.88137481827743702</v>
      </c>
      <c r="AK3" s="23">
        <f t="shared" si="10"/>
        <v>0.88911662411365777</v>
      </c>
      <c r="AL3" s="23">
        <f t="shared" si="10"/>
        <v>0.89692643229843994</v>
      </c>
      <c r="AM3" s="23">
        <f t="shared" si="10"/>
        <v>0.90480484014971008</v>
      </c>
      <c r="AN3" s="23">
        <f t="shared" si="10"/>
        <v>0.91275245023210627</v>
      </c>
      <c r="AO3" s="23">
        <f t="shared" si="10"/>
        <v>0.92076987040306402</v>
      </c>
      <c r="AP3" s="23">
        <f t="shared" si="10"/>
        <v>0.92885771385930727</v>
      </c>
      <c r="AQ3" s="23">
        <f t="shared" si="10"/>
        <v>0.93701659918374725</v>
      </c>
      <c r="AR3" s="23">
        <f t="shared" si="10"/>
        <v>0.94524715039279372</v>
      </c>
      <c r="AS3" s="23">
        <f t="shared" si="10"/>
        <v>0.95354999698408183</v>
      </c>
      <c r="AT3" s="23">
        <f t="shared" si="10"/>
        <v>0.96192577398461776</v>
      </c>
    </row>
    <row r="4" spans="1:46" x14ac:dyDescent="0.25">
      <c r="A4" s="27" t="s">
        <v>213</v>
      </c>
      <c r="B4" s="16">
        <v>0.33</v>
      </c>
      <c r="C4" s="16">
        <f t="shared" si="1"/>
        <v>1.2269938650306678E-2</v>
      </c>
      <c r="D4" s="16">
        <f t="shared" si="2"/>
        <v>4.0000000000000036E-3</v>
      </c>
      <c r="E4" s="16"/>
      <c r="F4" s="16">
        <v>0.33</v>
      </c>
      <c r="G4" s="16">
        <f t="shared" si="3"/>
        <v>-0.21428571428571419</v>
      </c>
      <c r="H4" s="16">
        <f t="shared" si="4"/>
        <v>-8.9999999999999969E-2</v>
      </c>
      <c r="I4" s="16"/>
      <c r="J4">
        <v>0.753</v>
      </c>
      <c r="K4" s="16">
        <f t="shared" si="6"/>
        <v>2.1709633649932281E-2</v>
      </c>
      <c r="L4" s="16">
        <f t="shared" si="7"/>
        <v>1.6000000000000014E-2</v>
      </c>
      <c r="M4" s="16"/>
      <c r="N4">
        <v>0.312</v>
      </c>
      <c r="O4" s="16">
        <f t="shared" si="8"/>
        <v>2.2950819672131084E-2</v>
      </c>
      <c r="P4" s="16">
        <f t="shared" si="9"/>
        <v>7.0000000000000062E-3</v>
      </c>
      <c r="Q4" s="16"/>
    </row>
    <row r="5" spans="1:46" x14ac:dyDescent="0.25">
      <c r="A5" s="27" t="s">
        <v>214</v>
      </c>
      <c r="B5" s="16">
        <v>0.32600000000000001</v>
      </c>
      <c r="C5" s="16">
        <f t="shared" si="1"/>
        <v>-7.6487252124645799E-2</v>
      </c>
      <c r="D5" s="16">
        <f t="shared" si="2"/>
        <v>-2.6999999999999968E-2</v>
      </c>
      <c r="E5" s="16"/>
      <c r="F5" s="16">
        <v>0.32600000000000001</v>
      </c>
      <c r="G5" s="16">
        <f t="shared" si="3"/>
        <v>-0.31941544885177453</v>
      </c>
      <c r="H5" s="16">
        <f t="shared" si="4"/>
        <v>-0.15299999999999997</v>
      </c>
      <c r="I5" s="16"/>
      <c r="J5">
        <v>0.752</v>
      </c>
      <c r="K5" s="16">
        <f t="shared" si="6"/>
        <v>2.732240437158473E-2</v>
      </c>
      <c r="L5" s="16">
        <f t="shared" si="7"/>
        <v>2.0000000000000018E-2</v>
      </c>
      <c r="M5" s="16"/>
      <c r="N5">
        <v>0.30399999999999999</v>
      </c>
      <c r="O5" s="16">
        <f t="shared" si="8"/>
        <v>9.966777408637828E-3</v>
      </c>
      <c r="P5" s="16">
        <f t="shared" si="9"/>
        <v>3.0000000000000027E-3</v>
      </c>
      <c r="Q5" s="16"/>
    </row>
    <row r="6" spans="1:46" x14ac:dyDescent="0.25">
      <c r="A6" s="27" t="s">
        <v>215</v>
      </c>
      <c r="B6" s="16">
        <v>0.35299999999999998</v>
      </c>
      <c r="C6" s="16">
        <f t="shared" si="1"/>
        <v>-3.8147138964577665E-2</v>
      </c>
      <c r="D6" s="16">
        <f t="shared" si="2"/>
        <v>-1.4000000000000012E-2</v>
      </c>
      <c r="E6" s="16"/>
      <c r="F6" s="16">
        <v>0.35299999999999998</v>
      </c>
      <c r="G6" s="16">
        <f t="shared" si="3"/>
        <v>-0.33143939393939403</v>
      </c>
      <c r="H6" s="16">
        <f t="shared" si="4"/>
        <v>-0.17500000000000004</v>
      </c>
      <c r="I6" s="16"/>
      <c r="J6">
        <v>0.746</v>
      </c>
      <c r="K6" s="16">
        <f t="shared" si="6"/>
        <v>1.4965986394557929E-2</v>
      </c>
      <c r="L6" s="16">
        <f t="shared" si="7"/>
        <v>1.100000000000001E-2</v>
      </c>
      <c r="M6" s="16"/>
      <c r="N6">
        <v>0.30299999999999999</v>
      </c>
      <c r="O6" s="16">
        <f t="shared" si="8"/>
        <v>3.7671232876712368E-2</v>
      </c>
      <c r="P6" s="16">
        <f t="shared" si="9"/>
        <v>1.100000000000001E-2</v>
      </c>
      <c r="Q6" s="16"/>
      <c r="R6" t="s">
        <v>216</v>
      </c>
    </row>
    <row r="7" spans="1:46" x14ac:dyDescent="0.25">
      <c r="A7" s="27" t="s">
        <v>217</v>
      </c>
      <c r="B7" s="16">
        <v>0.36699999999999999</v>
      </c>
      <c r="C7" s="16">
        <f t="shared" si="1"/>
        <v>-0.12619047619047619</v>
      </c>
      <c r="D7" s="16">
        <f t="shared" si="2"/>
        <v>-5.2999999999999992E-2</v>
      </c>
      <c r="E7" s="16"/>
      <c r="F7" s="16">
        <v>0.36699999999999999</v>
      </c>
      <c r="G7" s="16">
        <f t="shared" si="3"/>
        <v>-0.37264957264957266</v>
      </c>
      <c r="H7" s="16">
        <f t="shared" si="4"/>
        <v>-0.21799999999999997</v>
      </c>
      <c r="I7" s="16"/>
      <c r="J7">
        <v>0.74</v>
      </c>
      <c r="K7" s="16">
        <f t="shared" si="6"/>
        <v>4.070556309362372E-3</v>
      </c>
      <c r="L7" s="16">
        <f t="shared" si="7"/>
        <v>3.0000000000000027E-3</v>
      </c>
      <c r="M7" s="16"/>
      <c r="N7">
        <v>0.30199999999999999</v>
      </c>
      <c r="O7" s="16">
        <f t="shared" si="8"/>
        <v>2.0270270270270396E-2</v>
      </c>
      <c r="P7" s="16">
        <f t="shared" si="9"/>
        <v>6.0000000000000053E-3</v>
      </c>
      <c r="Q7" s="16"/>
      <c r="S7" t="s">
        <v>218</v>
      </c>
    </row>
    <row r="8" spans="1:46" x14ac:dyDescent="0.25">
      <c r="A8" s="27" t="s">
        <v>219</v>
      </c>
      <c r="B8" s="16">
        <v>0.42</v>
      </c>
      <c r="C8" s="16">
        <f t="shared" si="1"/>
        <v>-0.12317327766179542</v>
      </c>
      <c r="D8" s="16">
        <f t="shared" si="2"/>
        <v>-5.8999999999999997E-2</v>
      </c>
      <c r="E8" s="16"/>
      <c r="F8" s="16">
        <v>0.42</v>
      </c>
      <c r="G8" s="16">
        <f t="shared" si="3"/>
        <v>-0.31260229132569561</v>
      </c>
      <c r="H8" s="16">
        <f t="shared" si="4"/>
        <v>-0.191</v>
      </c>
      <c r="I8" s="16"/>
      <c r="J8">
        <v>0.73699999999999999</v>
      </c>
      <c r="K8" s="16">
        <f t="shared" si="6"/>
        <v>1.3586956521738358E-3</v>
      </c>
      <c r="L8" s="16">
        <f t="shared" si="7"/>
        <v>1.0000000000000009E-3</v>
      </c>
      <c r="M8" s="16"/>
      <c r="N8">
        <v>0.30499999999999999</v>
      </c>
      <c r="O8" s="16">
        <f t="shared" si="8"/>
        <v>3.7414965986394488E-2</v>
      </c>
      <c r="P8" s="16">
        <f t="shared" si="9"/>
        <v>1.100000000000001E-2</v>
      </c>
      <c r="Q8" s="16"/>
    </row>
    <row r="9" spans="1:46" x14ac:dyDescent="0.25">
      <c r="A9" s="27" t="s">
        <v>220</v>
      </c>
      <c r="B9" s="16">
        <v>0.47899999999999998</v>
      </c>
      <c r="C9" s="16">
        <f t="shared" si="1"/>
        <v>-9.2803030303030387E-2</v>
      </c>
      <c r="D9" s="16">
        <f t="shared" si="2"/>
        <v>-4.9000000000000044E-2</v>
      </c>
      <c r="E9" s="16"/>
      <c r="F9" s="16">
        <v>0.47899999999999998</v>
      </c>
      <c r="G9" s="16">
        <f t="shared" si="3"/>
        <v>-0.23604465709728872</v>
      </c>
      <c r="H9" s="16">
        <f t="shared" si="4"/>
        <v>-0.14800000000000002</v>
      </c>
      <c r="I9" s="16"/>
      <c r="J9">
        <v>0.73199999999999998</v>
      </c>
      <c r="K9" s="16">
        <f t="shared" si="6"/>
        <v>-5.4347826086956763E-3</v>
      </c>
      <c r="L9" s="16">
        <f t="shared" si="7"/>
        <v>-4.0000000000000036E-3</v>
      </c>
      <c r="M9" s="16"/>
      <c r="N9">
        <v>0.30099999999999999</v>
      </c>
      <c r="O9" s="16">
        <f t="shared" si="8"/>
        <v>-9.8684210526316374E-3</v>
      </c>
      <c r="P9" s="16">
        <f t="shared" si="9"/>
        <v>-3.0000000000000027E-3</v>
      </c>
      <c r="Q9" s="16"/>
      <c r="R9" s="3" t="s">
        <v>221</v>
      </c>
    </row>
    <row r="10" spans="1:46" x14ac:dyDescent="0.25">
      <c r="A10" s="27" t="s">
        <v>222</v>
      </c>
      <c r="B10" s="16">
        <v>0.52800000000000002</v>
      </c>
      <c r="C10" s="16">
        <f t="shared" si="1"/>
        <v>-9.7435897435897312E-2</v>
      </c>
      <c r="D10" s="16">
        <f t="shared" si="2"/>
        <v>-5.699999999999994E-2</v>
      </c>
      <c r="E10" s="16"/>
      <c r="F10" s="16">
        <v>0.52800000000000002</v>
      </c>
      <c r="G10" s="16">
        <f t="shared" si="3"/>
        <v>-0.16850393700787403</v>
      </c>
      <c r="H10" s="16">
        <f t="shared" si="4"/>
        <v>-0.10699999999999998</v>
      </c>
      <c r="I10" s="16"/>
      <c r="J10">
        <v>0.73499999999999999</v>
      </c>
      <c r="K10" s="16">
        <f t="shared" si="6"/>
        <v>-4.0650406504064707E-3</v>
      </c>
      <c r="L10" s="16">
        <f t="shared" si="7"/>
        <v>-3.0000000000000027E-3</v>
      </c>
      <c r="M10" s="16"/>
      <c r="N10">
        <v>0.29199999999999998</v>
      </c>
      <c r="O10" s="16">
        <f t="shared" si="8"/>
        <v>-8.7500000000000022E-2</v>
      </c>
      <c r="P10" s="16">
        <f t="shared" si="9"/>
        <v>-2.8000000000000025E-2</v>
      </c>
      <c r="Q10" s="16"/>
      <c r="R10" t="s">
        <v>223</v>
      </c>
    </row>
    <row r="11" spans="1:46" x14ac:dyDescent="0.25">
      <c r="A11" s="27" t="s">
        <v>224</v>
      </c>
      <c r="B11" s="16">
        <v>0.58499999999999996</v>
      </c>
      <c r="C11" s="16">
        <f t="shared" si="1"/>
        <v>-4.2553191489361764E-2</v>
      </c>
      <c r="D11" s="16">
        <f t="shared" si="2"/>
        <v>-2.6000000000000023E-2</v>
      </c>
      <c r="E11" s="16"/>
      <c r="F11" s="16">
        <v>0.58499999999999996</v>
      </c>
      <c r="G11" s="16">
        <f t="shared" si="3"/>
        <v>-0.16068866571018647</v>
      </c>
      <c r="H11" s="16">
        <f t="shared" si="4"/>
        <v>-0.11199999999999999</v>
      </c>
      <c r="I11" s="16"/>
      <c r="J11">
        <v>0.73699999999999999</v>
      </c>
      <c r="K11" s="16">
        <f t="shared" si="6"/>
        <v>-2.7063599458727605E-3</v>
      </c>
      <c r="L11" s="16">
        <f t="shared" si="7"/>
        <v>-2.0000000000000018E-3</v>
      </c>
      <c r="M11" s="16"/>
      <c r="N11">
        <v>0.29599999999999999</v>
      </c>
      <c r="O11" s="16">
        <f t="shared" si="8"/>
        <v>-7.5000000000000067E-2</v>
      </c>
      <c r="P11" s="16">
        <f t="shared" si="9"/>
        <v>-2.4000000000000021E-2</v>
      </c>
      <c r="Q11" s="16"/>
    </row>
    <row r="12" spans="1:46" x14ac:dyDescent="0.25">
      <c r="A12" s="27" t="s">
        <v>225</v>
      </c>
      <c r="B12" s="16">
        <v>0.61099999999999999</v>
      </c>
      <c r="C12" s="16">
        <f t="shared" si="1"/>
        <v>-2.5518341307815051E-2</v>
      </c>
      <c r="D12" s="16">
        <f t="shared" si="2"/>
        <v>-1.6000000000000014E-2</v>
      </c>
      <c r="E12" s="16"/>
      <c r="F12" s="16">
        <v>0.61099999999999999</v>
      </c>
      <c r="G12" s="16">
        <f t="shared" si="3"/>
        <v>-0.1283880171184022</v>
      </c>
      <c r="H12" s="16">
        <f t="shared" si="4"/>
        <v>-8.9999999999999969E-2</v>
      </c>
      <c r="I12" s="16"/>
      <c r="J12">
        <v>0.73599999999999999</v>
      </c>
      <c r="K12" s="16">
        <f t="shared" si="6"/>
        <v>-4.0595399188092518E-3</v>
      </c>
      <c r="L12" s="16">
        <f t="shared" si="7"/>
        <v>-3.0000000000000027E-3</v>
      </c>
      <c r="M12" s="16"/>
      <c r="N12">
        <v>0.29399999999999998</v>
      </c>
      <c r="O12" s="16">
        <f t="shared" si="8"/>
        <v>-8.9783281733746167E-2</v>
      </c>
      <c r="P12" s="16">
        <f t="shared" si="9"/>
        <v>-2.9000000000000026E-2</v>
      </c>
      <c r="Q12" s="16"/>
    </row>
    <row r="13" spans="1:46" x14ac:dyDescent="0.25">
      <c r="A13" s="27" t="s">
        <v>226</v>
      </c>
      <c r="B13" s="16">
        <v>0.627</v>
      </c>
      <c r="C13" s="16">
        <f t="shared" si="1"/>
        <v>-1.2598425196850394E-2</v>
      </c>
      <c r="D13" s="16">
        <f t="shared" si="2"/>
        <v>-8.0000000000000071E-3</v>
      </c>
      <c r="E13" s="16"/>
      <c r="F13" s="16">
        <v>0.627</v>
      </c>
      <c r="G13" s="16">
        <f t="shared" si="3"/>
        <v>-0.15498652291105119</v>
      </c>
      <c r="H13" s="16">
        <f t="shared" si="4"/>
        <v>-0.11499999999999999</v>
      </c>
      <c r="I13" s="16"/>
      <c r="J13">
        <v>0.73599999999999999</v>
      </c>
      <c r="K13" s="16">
        <f t="shared" si="6"/>
        <v>-1.3568521031207537E-3</v>
      </c>
      <c r="L13" s="16">
        <f t="shared" si="7"/>
        <v>-1.0000000000000009E-3</v>
      </c>
      <c r="M13" s="16"/>
      <c r="N13">
        <v>0.30399999999999999</v>
      </c>
      <c r="O13" s="16">
        <f t="shared" si="8"/>
        <v>-9.2537313432835888E-2</v>
      </c>
      <c r="P13" s="16">
        <f t="shared" si="9"/>
        <v>-3.1000000000000028E-2</v>
      </c>
      <c r="Q13" s="16"/>
    </row>
    <row r="14" spans="1:46" x14ac:dyDescent="0.25">
      <c r="A14" s="27" t="s">
        <v>227</v>
      </c>
      <c r="B14" s="16">
        <v>0.63500000000000001</v>
      </c>
      <c r="C14" s="16">
        <f t="shared" si="1"/>
        <v>-8.8952654232424599E-2</v>
      </c>
      <c r="D14" s="16">
        <f t="shared" si="2"/>
        <v>-6.1999999999999944E-2</v>
      </c>
      <c r="E14" s="16"/>
      <c r="F14" s="16">
        <v>0.63500000000000001</v>
      </c>
      <c r="G14" s="16">
        <f t="shared" si="3"/>
        <v>-0.25990675990675993</v>
      </c>
      <c r="H14" s="16">
        <f t="shared" si="4"/>
        <v>-0.22299999999999998</v>
      </c>
      <c r="I14" s="16"/>
      <c r="J14">
        <v>0.73799999999999999</v>
      </c>
      <c r="K14" s="16">
        <f t="shared" si="6"/>
        <v>1.2345679012345734E-2</v>
      </c>
      <c r="L14" s="16">
        <f t="shared" si="7"/>
        <v>9.000000000000008E-3</v>
      </c>
      <c r="M14" s="16"/>
      <c r="N14">
        <v>0.32</v>
      </c>
      <c r="O14" s="16">
        <f t="shared" si="8"/>
        <v>-9.2879256965944235E-3</v>
      </c>
      <c r="P14" s="16">
        <f t="shared" si="9"/>
        <v>-3.0000000000000027E-3</v>
      </c>
      <c r="Q14" s="16"/>
      <c r="R14" t="s">
        <v>228</v>
      </c>
    </row>
    <row r="15" spans="1:46" x14ac:dyDescent="0.25">
      <c r="A15" s="27" t="s">
        <v>229</v>
      </c>
      <c r="B15" s="16">
        <v>0.69699999999999995</v>
      </c>
      <c r="C15" s="16">
        <f t="shared" si="1"/>
        <v>-5.7061340941512162E-3</v>
      </c>
      <c r="D15" s="16">
        <f t="shared" si="2"/>
        <v>-4.0000000000000036E-3</v>
      </c>
      <c r="E15" s="16"/>
      <c r="F15" s="16">
        <v>0.69699999999999995</v>
      </c>
      <c r="G15" s="16">
        <f t="shared" si="3"/>
        <v>-0.1702380952380953</v>
      </c>
      <c r="H15" s="16">
        <f t="shared" si="4"/>
        <v>-0.14300000000000002</v>
      </c>
      <c r="I15" s="16"/>
      <c r="J15">
        <v>0.73899999999999999</v>
      </c>
      <c r="K15" s="16">
        <f t="shared" si="6"/>
        <v>2.3545706371191244E-2</v>
      </c>
      <c r="L15" s="16">
        <f t="shared" si="7"/>
        <v>1.7000000000000015E-2</v>
      </c>
      <c r="M15" s="16"/>
      <c r="N15">
        <v>0.32</v>
      </c>
      <c r="O15" s="16">
        <f t="shared" si="8"/>
        <v>0.18081180811808117</v>
      </c>
      <c r="P15" s="16">
        <f t="shared" si="9"/>
        <v>4.8999999999999988E-2</v>
      </c>
      <c r="Q15" s="16"/>
    </row>
    <row r="16" spans="1:46" x14ac:dyDescent="0.25">
      <c r="A16" s="27" t="s">
        <v>230</v>
      </c>
      <c r="B16" s="16">
        <v>0.70099999999999996</v>
      </c>
      <c r="C16" s="16">
        <f t="shared" si="1"/>
        <v>-5.5256064690026974E-2</v>
      </c>
      <c r="D16" s="16">
        <f t="shared" si="2"/>
        <v>-4.1000000000000036E-2</v>
      </c>
      <c r="E16" s="16"/>
      <c r="F16" s="16">
        <v>0.70099999999999996</v>
      </c>
      <c r="G16" s="16">
        <f t="shared" si="3"/>
        <v>-0.17819460726846426</v>
      </c>
      <c r="H16" s="16">
        <f t="shared" si="4"/>
        <v>-0.15200000000000002</v>
      </c>
      <c r="I16" s="16"/>
      <c r="J16">
        <v>0.73899999999999999</v>
      </c>
      <c r="K16" s="16">
        <f t="shared" si="6"/>
        <v>3.0683403068340276E-2</v>
      </c>
      <c r="L16" s="16">
        <f t="shared" si="7"/>
        <v>2.200000000000002E-2</v>
      </c>
      <c r="M16" s="16"/>
      <c r="N16">
        <v>0.32300000000000001</v>
      </c>
      <c r="O16" s="16">
        <f t="shared" si="8"/>
        <v>0.57560975609756104</v>
      </c>
      <c r="P16" s="16">
        <f t="shared" si="9"/>
        <v>0.11800000000000002</v>
      </c>
      <c r="Q16" s="16"/>
    </row>
    <row r="17" spans="1:17" x14ac:dyDescent="0.25">
      <c r="A17" s="27" t="s">
        <v>231</v>
      </c>
      <c r="B17" s="16">
        <v>0.74199999999999999</v>
      </c>
      <c r="C17" s="16">
        <f t="shared" si="1"/>
        <v>-0.13519813519813517</v>
      </c>
      <c r="D17" s="16">
        <f t="shared" si="2"/>
        <v>-0.11599999999999999</v>
      </c>
      <c r="E17" s="16"/>
      <c r="F17" s="16">
        <v>0.74199999999999999</v>
      </c>
      <c r="G17" s="16">
        <f t="shared" si="3"/>
        <v>-0.16722783389450058</v>
      </c>
      <c r="H17" s="16">
        <f t="shared" si="4"/>
        <v>-0.14900000000000002</v>
      </c>
      <c r="I17" s="16"/>
      <c r="J17">
        <v>0.73699999999999999</v>
      </c>
      <c r="K17" s="16">
        <f t="shared" si="6"/>
        <v>4.3909348441926399E-2</v>
      </c>
      <c r="L17" s="16">
        <f t="shared" si="7"/>
        <v>3.1000000000000028E-2</v>
      </c>
      <c r="M17" s="16"/>
      <c r="N17">
        <v>0.33500000000000002</v>
      </c>
      <c r="O17" s="16">
        <f t="shared" si="8"/>
        <v>11.884615384615387</v>
      </c>
      <c r="P17" s="16">
        <f t="shared" si="9"/>
        <v>0.309</v>
      </c>
      <c r="Q17" s="16"/>
    </row>
    <row r="18" spans="1:17" x14ac:dyDescent="0.25">
      <c r="A18" s="27" t="s">
        <v>232</v>
      </c>
      <c r="B18" s="16">
        <v>0.85799999999999998</v>
      </c>
      <c r="C18" s="16">
        <f t="shared" si="1"/>
        <v>2.1428571428571352E-2</v>
      </c>
      <c r="D18" s="16">
        <f t="shared" si="2"/>
        <v>1.8000000000000016E-2</v>
      </c>
      <c r="E18" s="16"/>
      <c r="F18" s="16">
        <v>0.85799999999999998</v>
      </c>
      <c r="G18" s="16">
        <f t="shared" si="3"/>
        <v>-3.0508474576271261E-2</v>
      </c>
      <c r="H18" s="16">
        <f t="shared" si="4"/>
        <v>-2.7000000000000024E-2</v>
      </c>
      <c r="I18" s="16"/>
      <c r="J18">
        <v>0.72899999999999998</v>
      </c>
      <c r="K18" s="16">
        <f t="shared" si="6"/>
        <v>5.0432276657060626E-2</v>
      </c>
      <c r="L18" s="16">
        <f t="shared" si="7"/>
        <v>3.5000000000000031E-2</v>
      </c>
      <c r="M18" s="16"/>
      <c r="N18">
        <v>0.32300000000000001</v>
      </c>
      <c r="O18" s="16">
        <f t="shared" si="8"/>
        <v>-4.4361702127659575</v>
      </c>
      <c r="P18" s="16">
        <f t="shared" si="9"/>
        <v>0.41700000000000004</v>
      </c>
      <c r="Q18" s="16"/>
    </row>
    <row r="19" spans="1:17" x14ac:dyDescent="0.25">
      <c r="A19" s="27" t="s">
        <v>233</v>
      </c>
      <c r="B19" s="16">
        <v>0.84</v>
      </c>
      <c r="C19" s="16">
        <f t="shared" si="1"/>
        <v>-1.5240328253223967E-2</v>
      </c>
      <c r="D19" s="16">
        <f t="shared" si="2"/>
        <v>-1.3000000000000012E-2</v>
      </c>
      <c r="E19" s="16"/>
      <c r="F19" s="16">
        <v>0.84</v>
      </c>
      <c r="G19" s="16">
        <f t="shared" si="3"/>
        <v>-0.10733262486716255</v>
      </c>
      <c r="H19" s="16">
        <f t="shared" si="4"/>
        <v>-0.10099999999999998</v>
      </c>
      <c r="I19" s="16"/>
      <c r="J19">
        <v>0.72199999999999998</v>
      </c>
      <c r="K19" s="16">
        <f t="shared" si="6"/>
        <v>5.2478134110786945E-2</v>
      </c>
      <c r="L19" s="16">
        <f t="shared" si="7"/>
        <v>3.5999999999999921E-2</v>
      </c>
      <c r="M19" s="16"/>
      <c r="N19">
        <v>0.27100000000000002</v>
      </c>
      <c r="O19" s="16">
        <f t="shared" si="8"/>
        <v>-2.6227544910179641</v>
      </c>
      <c r="P19" s="16">
        <f t="shared" si="9"/>
        <v>0.43800000000000006</v>
      </c>
      <c r="Q19" s="16"/>
    </row>
    <row r="20" spans="1:17" x14ac:dyDescent="0.25">
      <c r="A20" s="27" t="s">
        <v>234</v>
      </c>
      <c r="B20" s="16">
        <v>0.85299999999999998</v>
      </c>
      <c r="C20" s="16">
        <f t="shared" si="1"/>
        <v>-4.264870931537601E-2</v>
      </c>
      <c r="D20" s="16">
        <f t="shared" si="2"/>
        <v>-3.8000000000000034E-2</v>
      </c>
      <c r="E20" s="16"/>
      <c r="F20" s="16">
        <v>0.85299999999999998</v>
      </c>
      <c r="G20" s="16">
        <f t="shared" si="3"/>
        <v>-0.17344961240310086</v>
      </c>
      <c r="H20" s="16">
        <f t="shared" si="4"/>
        <v>-0.17900000000000005</v>
      </c>
      <c r="I20" s="16"/>
      <c r="J20">
        <v>0.71699999999999997</v>
      </c>
      <c r="K20" s="16">
        <f t="shared" si="6"/>
        <v>6.2222222222222179E-2</v>
      </c>
      <c r="L20" s="16">
        <f t="shared" si="7"/>
        <v>4.1999999999999926E-2</v>
      </c>
      <c r="M20" s="16"/>
      <c r="N20">
        <v>0.20499999999999999</v>
      </c>
      <c r="O20" s="16">
        <f t="shared" si="8"/>
        <v>-1.9403669724770642</v>
      </c>
      <c r="P20" s="16">
        <f t="shared" si="9"/>
        <v>0.42299999999999999</v>
      </c>
      <c r="Q20" s="16"/>
    </row>
    <row r="21" spans="1:17" x14ac:dyDescent="0.25">
      <c r="A21" s="27" t="s">
        <v>235</v>
      </c>
      <c r="B21" s="16">
        <v>0.89100000000000001</v>
      </c>
      <c r="C21" s="16">
        <f t="shared" si="1"/>
        <v>6.7796610169492677E-3</v>
      </c>
      <c r="D21" s="16">
        <f t="shared" si="2"/>
        <v>6.0000000000000053E-3</v>
      </c>
      <c r="E21" s="16"/>
      <c r="F21" s="16">
        <v>0.89100000000000001</v>
      </c>
      <c r="G21" s="16">
        <f t="shared" si="3"/>
        <v>-0.17346938775510212</v>
      </c>
      <c r="H21" s="16">
        <f t="shared" si="4"/>
        <v>-0.18700000000000006</v>
      </c>
      <c r="I21" s="16"/>
      <c r="J21">
        <v>0.70599999999999996</v>
      </c>
      <c r="K21" s="16">
        <f t="shared" si="6"/>
        <v>8.4485407066052121E-2</v>
      </c>
      <c r="L21" s="16">
        <f t="shared" si="7"/>
        <v>5.4999999999999938E-2</v>
      </c>
      <c r="M21" s="16"/>
      <c r="N21">
        <v>2.5999999999999999E-2</v>
      </c>
      <c r="O21" s="16">
        <f t="shared" si="8"/>
        <v>-1.0988593155893536</v>
      </c>
      <c r="P21" s="16">
        <f t="shared" si="9"/>
        <v>0.28900000000000003</v>
      </c>
      <c r="Q21" s="16"/>
    </row>
    <row r="22" spans="1:17" x14ac:dyDescent="0.25">
      <c r="A22" s="27" t="s">
        <v>236</v>
      </c>
      <c r="B22" s="16">
        <v>0.88500000000000001</v>
      </c>
      <c r="C22" s="16">
        <f t="shared" si="1"/>
        <v>-5.9511158342189119E-2</v>
      </c>
      <c r="D22" s="16">
        <f t="shared" si="2"/>
        <v>-5.5999999999999939E-2</v>
      </c>
      <c r="E22" s="16"/>
      <c r="F22" s="16">
        <v>0.88500000000000001</v>
      </c>
      <c r="G22" s="16"/>
      <c r="H22" s="16"/>
      <c r="I22" s="16"/>
      <c r="J22">
        <v>0.69399999999999995</v>
      </c>
      <c r="K22" s="16"/>
      <c r="L22" s="16"/>
      <c r="M22" s="16"/>
      <c r="N22">
        <v>-9.4E-2</v>
      </c>
      <c r="O22" s="16"/>
      <c r="P22" s="16"/>
      <c r="Q22" s="16"/>
    </row>
    <row r="23" spans="1:17" x14ac:dyDescent="0.25">
      <c r="A23" s="27" t="s">
        <v>237</v>
      </c>
      <c r="B23" s="16">
        <v>0.94099999999999995</v>
      </c>
      <c r="C23" s="16">
        <f t="shared" si="1"/>
        <v>-8.8178294573643456E-2</v>
      </c>
      <c r="D23" s="16">
        <f t="shared" si="2"/>
        <v>-9.1000000000000081E-2</v>
      </c>
      <c r="E23" s="16"/>
      <c r="F23" s="16">
        <v>0.94099999999999995</v>
      </c>
      <c r="G23" s="16"/>
      <c r="H23" s="16"/>
      <c r="I23" s="16"/>
      <c r="J23">
        <v>0.68600000000000005</v>
      </c>
      <c r="K23" s="16"/>
      <c r="L23" s="16"/>
      <c r="M23" s="16"/>
      <c r="N23">
        <v>-0.16700000000000001</v>
      </c>
      <c r="O23" s="16"/>
      <c r="P23" s="16"/>
      <c r="Q23" s="16"/>
    </row>
    <row r="24" spans="1:17" x14ac:dyDescent="0.25">
      <c r="A24" s="27" t="s">
        <v>238</v>
      </c>
      <c r="B24" s="16">
        <v>1.032</v>
      </c>
      <c r="C24" s="16">
        <f t="shared" si="1"/>
        <v>-4.2671614100185606E-2</v>
      </c>
      <c r="D24" s="16">
        <f t="shared" si="2"/>
        <v>-4.6000000000000041E-2</v>
      </c>
      <c r="E24" s="16"/>
      <c r="F24" s="16">
        <v>1.032</v>
      </c>
      <c r="G24" s="16"/>
      <c r="H24" s="16"/>
      <c r="I24" s="16"/>
      <c r="J24">
        <v>0.67500000000000004</v>
      </c>
      <c r="K24" s="16"/>
      <c r="L24" s="16"/>
      <c r="M24" s="16"/>
      <c r="N24">
        <v>-0.218</v>
      </c>
      <c r="O24" s="16"/>
      <c r="P24" s="16"/>
      <c r="Q24" s="16"/>
    </row>
    <row r="25" spans="1:17" x14ac:dyDescent="0.25">
      <c r="A25" s="27" t="s">
        <v>239</v>
      </c>
      <c r="B25" s="16">
        <v>1.0780000000000001</v>
      </c>
      <c r="C25" s="16"/>
      <c r="D25" s="16"/>
      <c r="E25" s="16"/>
      <c r="F25" s="16">
        <v>1.0780000000000001</v>
      </c>
      <c r="G25" s="16"/>
      <c r="H25" s="16"/>
      <c r="I25" s="16"/>
      <c r="J25">
        <v>0.65100000000000002</v>
      </c>
      <c r="K25" s="16"/>
      <c r="L25" s="16"/>
      <c r="M25" s="16"/>
      <c r="N25">
        <v>-0.26300000000000001</v>
      </c>
      <c r="O25" s="16"/>
      <c r="P25" s="16"/>
      <c r="Q25" s="16"/>
    </row>
    <row r="26" spans="1:17" x14ac:dyDescent="0.25">
      <c r="A26" s="27" t="s">
        <v>240</v>
      </c>
      <c r="J26">
        <v>0.61799999999999999</v>
      </c>
      <c r="N26">
        <v>-0.36399999999999999</v>
      </c>
    </row>
    <row r="27" spans="1:17" x14ac:dyDescent="0.25">
      <c r="A27" s="27" t="s">
        <v>241</v>
      </c>
    </row>
    <row r="28" spans="1:17" x14ac:dyDescent="0.25">
      <c r="A28" s="27" t="s">
        <v>242</v>
      </c>
    </row>
    <row r="29" spans="1:17" x14ac:dyDescent="0.25">
      <c r="A29" s="27" t="s">
        <v>243</v>
      </c>
    </row>
    <row r="31" spans="1:17" x14ac:dyDescent="0.25">
      <c r="A31" s="26" t="s">
        <v>244</v>
      </c>
      <c r="C31" s="11">
        <f>AVERAGE(C2:C24)</f>
        <v>-5.9964107228365322E-2</v>
      </c>
      <c r="G31" s="11">
        <f>AVERAGE(G2:G24)</f>
        <v>-0.20439618723721636</v>
      </c>
      <c r="K31" s="11">
        <f>AVERAGE(K2:K24)</f>
        <v>2.2603918193063118E-2</v>
      </c>
      <c r="O31" s="11">
        <f>AVERAGE(O2:O8)</f>
        <v>2.8553403971673386E-2</v>
      </c>
    </row>
    <row r="32" spans="1:17" x14ac:dyDescent="0.25">
      <c r="A32" s="26" t="s">
        <v>245</v>
      </c>
      <c r="C32" s="11">
        <f>MEDIAN(C2:C24)</f>
        <v>-4.2671614100185606E-2</v>
      </c>
      <c r="G32" s="11">
        <f>MEDIAN(G2:G24)</f>
        <v>-0.17345950007910149</v>
      </c>
      <c r="K32" s="11">
        <f>MEDIAN(K2:K24)</f>
        <v>1.7567567567567499E-2</v>
      </c>
      <c r="O32" s="11">
        <f>MEDIAN(O2:O8)</f>
        <v>3.0182892829262786E-2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9"/>
  <sheetViews>
    <sheetView workbookViewId="0"/>
  </sheetViews>
  <sheetFormatPr defaultRowHeight="15" x14ac:dyDescent="0.25"/>
  <sheetData>
    <row r="1" spans="1:5" x14ac:dyDescent="0.25">
      <c r="B1" s="72" t="s">
        <v>246</v>
      </c>
      <c r="C1" s="72" t="s">
        <v>247</v>
      </c>
      <c r="D1" s="72" t="s">
        <v>11</v>
      </c>
      <c r="E1" s="72" t="s">
        <v>9</v>
      </c>
    </row>
    <row r="2" spans="1:5" x14ac:dyDescent="0.25">
      <c r="A2" s="72">
        <v>0</v>
      </c>
      <c r="B2">
        <v>3</v>
      </c>
      <c r="C2" t="s">
        <v>248</v>
      </c>
      <c r="D2">
        <v>1.0432585859248009</v>
      </c>
      <c r="E2">
        <v>0.1129965222668132</v>
      </c>
    </row>
    <row r="3" spans="1:5" x14ac:dyDescent="0.25">
      <c r="A3" s="72">
        <v>1</v>
      </c>
      <c r="B3">
        <v>3</v>
      </c>
      <c r="C3" t="s">
        <v>249</v>
      </c>
      <c r="D3">
        <v>0.96069328025634937</v>
      </c>
      <c r="E3">
        <v>0.1072772235053641</v>
      </c>
    </row>
    <row r="4" spans="1:5" x14ac:dyDescent="0.25">
      <c r="A4" s="72">
        <v>2</v>
      </c>
      <c r="B4">
        <v>3</v>
      </c>
      <c r="C4" t="s">
        <v>250</v>
      </c>
      <c r="D4">
        <v>0.88984625349592228</v>
      </c>
      <c r="E4">
        <v>0.10236964992923819</v>
      </c>
    </row>
    <row r="5" spans="1:5" x14ac:dyDescent="0.25">
      <c r="A5" s="72">
        <v>3</v>
      </c>
      <c r="B5">
        <v>5</v>
      </c>
      <c r="C5" t="s">
        <v>248</v>
      </c>
      <c r="D5">
        <v>0.78653492836444483</v>
      </c>
      <c r="E5">
        <v>9.5213274390088531E-2</v>
      </c>
    </row>
    <row r="6" spans="1:5" x14ac:dyDescent="0.25">
      <c r="A6" s="72">
        <v>4</v>
      </c>
      <c r="B6">
        <v>5</v>
      </c>
      <c r="C6" t="s">
        <v>249</v>
      </c>
      <c r="D6">
        <v>0.71355068305977476</v>
      </c>
      <c r="E6">
        <v>9.0157655684424506E-2</v>
      </c>
    </row>
    <row r="7" spans="1:5" x14ac:dyDescent="0.25">
      <c r="A7" s="72">
        <v>5</v>
      </c>
      <c r="B7">
        <v>5</v>
      </c>
      <c r="C7" t="s">
        <v>250</v>
      </c>
      <c r="D7">
        <v>0.72174992511215474</v>
      </c>
      <c r="E7">
        <v>9.0725617185146185E-2</v>
      </c>
    </row>
    <row r="8" spans="1:5" x14ac:dyDescent="0.25">
      <c r="A8" s="72">
        <v>6</v>
      </c>
      <c r="B8" t="s">
        <v>244</v>
      </c>
      <c r="D8">
        <v>0.85260560936890784</v>
      </c>
      <c r="E8">
        <v>9.9789990493512434E-2</v>
      </c>
    </row>
    <row r="9" spans="1:5" x14ac:dyDescent="0.25">
      <c r="A9" s="72">
        <v>7</v>
      </c>
      <c r="B9" t="s">
        <v>245</v>
      </c>
      <c r="D9">
        <v>0.83819059093018355</v>
      </c>
      <c r="E9">
        <v>9.8791462159663335E-2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WACC</vt:lpstr>
      <vt:lpstr>DCF_Simple</vt:lpstr>
      <vt:lpstr>Python</vt:lpstr>
      <vt:lpstr>Sheet3</vt:lpstr>
      <vt:lpstr>Beta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Chon</dc:creator>
  <cp:lastModifiedBy>Kyle Jennings</cp:lastModifiedBy>
  <cp:lastPrinted>2024-10-14T23:30:42Z</cp:lastPrinted>
  <dcterms:created xsi:type="dcterms:W3CDTF">2022-06-12T18:45:32Z</dcterms:created>
  <dcterms:modified xsi:type="dcterms:W3CDTF">2024-10-18T21:30:51Z</dcterms:modified>
</cp:coreProperties>
</file>